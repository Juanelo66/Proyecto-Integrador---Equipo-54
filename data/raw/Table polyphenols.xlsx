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marinaperez_ub_edu/Documents/HORTBIOSOL/Strawberry 2023/Data/"/>
    </mc:Choice>
  </mc:AlternateContent>
  <xr:revisionPtr revIDLastSave="84" documentId="14_{D007ACCB-F32A-48E4-8791-4BE81013AE87}" xr6:coauthVersionLast="47" xr6:coauthVersionMax="47" xr10:uidLastSave="{FA360EE1-4388-4CA3-B847-FDE900A3B57B}"/>
  <bookViews>
    <workbookView xWindow="0" yWindow="0" windowWidth="28800" windowHeight="12225" firstSheet="1" xr2:uid="{0D1E20DD-D92E-40C4-AD2C-DA8EF51B42F9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  <c r="W6" i="1"/>
  <c r="V6" i="1"/>
  <c r="U6" i="1"/>
  <c r="S6" i="1"/>
  <c r="R6" i="1"/>
  <c r="Q6" i="1"/>
  <c r="P6" i="1"/>
  <c r="X5" i="1"/>
  <c r="W5" i="1"/>
  <c r="V5" i="1"/>
  <c r="U5" i="1"/>
  <c r="S5" i="1"/>
  <c r="R5" i="1"/>
  <c r="Q5" i="1"/>
  <c r="P3" i="1"/>
  <c r="P5" i="1"/>
  <c r="X4" i="1"/>
  <c r="W4" i="1"/>
  <c r="V4" i="1"/>
  <c r="U4" i="1"/>
  <c r="S4" i="1"/>
  <c r="R4" i="1"/>
  <c r="Q4" i="1"/>
  <c r="P4" i="1"/>
  <c r="X3" i="1"/>
  <c r="W3" i="1"/>
  <c r="V3" i="1"/>
  <c r="U3" i="1"/>
  <c r="S3" i="1"/>
  <c r="R3" i="1"/>
  <c r="Q3" i="1"/>
  <c r="I162" i="1"/>
  <c r="I163" i="1"/>
  <c r="I164" i="1"/>
  <c r="I165" i="1"/>
  <c r="I166" i="1"/>
  <c r="I167" i="1"/>
  <c r="I168" i="1"/>
  <c r="I161" i="1"/>
  <c r="I152" i="1"/>
  <c r="I153" i="1"/>
  <c r="I154" i="1"/>
  <c r="I155" i="1"/>
  <c r="I156" i="1"/>
  <c r="I157" i="1"/>
  <c r="I158" i="1"/>
  <c r="I151" i="1"/>
  <c r="I147" i="1" l="1"/>
  <c r="I146" i="1"/>
  <c r="I145" i="1"/>
  <c r="I144" i="1"/>
  <c r="I143" i="1"/>
  <c r="I142" i="1"/>
  <c r="I141" i="1"/>
  <c r="I140" i="1"/>
  <c r="I136" i="1"/>
  <c r="I135" i="1"/>
  <c r="I134" i="1"/>
  <c r="I133" i="1"/>
  <c r="I132" i="1"/>
  <c r="I131" i="1"/>
  <c r="I130" i="1"/>
  <c r="I129" i="1"/>
  <c r="I124" i="1"/>
  <c r="I123" i="1"/>
  <c r="I122" i="1"/>
  <c r="I121" i="1"/>
  <c r="I120" i="1"/>
  <c r="I119" i="1"/>
  <c r="I118" i="1"/>
  <c r="I117" i="1"/>
  <c r="I114" i="1"/>
  <c r="I113" i="1"/>
  <c r="I112" i="1"/>
  <c r="I111" i="1"/>
  <c r="I110" i="1"/>
  <c r="I109" i="1"/>
  <c r="I108" i="1"/>
  <c r="I107" i="1"/>
  <c r="I104" i="1"/>
  <c r="I103" i="1"/>
  <c r="I102" i="1"/>
  <c r="I101" i="1"/>
  <c r="I100" i="1"/>
  <c r="I99" i="1"/>
  <c r="I98" i="1"/>
  <c r="I97" i="1"/>
  <c r="I94" i="1"/>
  <c r="I93" i="1"/>
  <c r="I92" i="1"/>
  <c r="I91" i="1"/>
  <c r="I90" i="1"/>
  <c r="I89" i="1"/>
  <c r="I88" i="1"/>
  <c r="I87" i="1"/>
  <c r="I84" i="1"/>
  <c r="I83" i="1"/>
  <c r="I82" i="1"/>
  <c r="I81" i="1"/>
  <c r="I80" i="1"/>
  <c r="I79" i="1"/>
  <c r="I78" i="1"/>
  <c r="I77" i="1"/>
  <c r="I74" i="1"/>
  <c r="I73" i="1"/>
  <c r="I72" i="1"/>
  <c r="I71" i="1"/>
  <c r="I70" i="1"/>
  <c r="I69" i="1"/>
  <c r="I68" i="1"/>
  <c r="I67" i="1"/>
  <c r="I62" i="1"/>
  <c r="I61" i="1"/>
  <c r="I60" i="1"/>
  <c r="I59" i="1"/>
  <c r="I58" i="1"/>
  <c r="I57" i="1"/>
  <c r="I56" i="1"/>
  <c r="I55" i="1"/>
  <c r="I51" i="1"/>
  <c r="I50" i="1"/>
  <c r="I49" i="1"/>
  <c r="I48" i="1"/>
  <c r="I47" i="1"/>
  <c r="I46" i="1"/>
  <c r="I45" i="1"/>
  <c r="I44" i="1"/>
  <c r="I41" i="1"/>
  <c r="I40" i="1"/>
  <c r="I39" i="1"/>
  <c r="I38" i="1"/>
  <c r="I37" i="1"/>
  <c r="I36" i="1"/>
  <c r="I35" i="1"/>
  <c r="I34" i="1"/>
  <c r="I25" i="1"/>
  <c r="I26" i="1"/>
  <c r="I27" i="1"/>
  <c r="I28" i="1"/>
  <c r="I29" i="1"/>
  <c r="I30" i="1"/>
  <c r="I31" i="1"/>
  <c r="I24" i="1"/>
  <c r="I14" i="1"/>
  <c r="I15" i="1"/>
  <c r="I16" i="1"/>
  <c r="I17" i="1"/>
  <c r="I18" i="1"/>
  <c r="I19" i="1"/>
  <c r="I20" i="1"/>
  <c r="I13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<sst xmlns="http://schemas.openxmlformats.org/spreadsheetml/2006/main" count="694" uniqueCount="312">
  <si>
    <t>cult</t>
  </si>
  <si>
    <t>ivar Trea</t>
  </si>
  <si>
    <t>tment N</t>
  </si>
  <si>
    <t>Proc</t>
  </si>
  <si>
    <t>yanidin.B1</t>
  </si>
  <si>
    <t>sd</t>
  </si>
  <si>
    <t>se</t>
  </si>
  <si>
    <t>ci</t>
  </si>
  <si>
    <t>DONNA</t>
  </si>
  <si>
    <t>DREAM</t>
  </si>
  <si>
    <t>DO</t>
  </si>
  <si>
    <t>T1</t>
  </si>
  <si>
    <r>
      <t xml:space="preserve">17.43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3.83</t>
    </r>
  </si>
  <si>
    <t>17.4255 3.828241</t>
  </si>
  <si>
    <t>Compound (mg/ g DW)</t>
  </si>
  <si>
    <t>Compost</t>
  </si>
  <si>
    <t>N fertilizer</t>
  </si>
  <si>
    <t>WR high dose</t>
  </si>
  <si>
    <t>WR low dose</t>
  </si>
  <si>
    <t>T2</t>
  </si>
  <si>
    <t>27.0415 4.565876</t>
  </si>
  <si>
    <t>Procyanidins</t>
  </si>
  <si>
    <t>T3</t>
  </si>
  <si>
    <t>25.501 8.075053</t>
  </si>
  <si>
    <t>Catechins</t>
  </si>
  <si>
    <t>T4</t>
  </si>
  <si>
    <t>43.62075 14.550738</t>
  </si>
  <si>
    <t>Flavonoids</t>
  </si>
  <si>
    <t>DR</t>
  </si>
  <si>
    <t>11.4615 1.670887</t>
  </si>
  <si>
    <t>Phenolic acid</t>
  </si>
  <si>
    <t>13.6785 5.338482</t>
  </si>
  <si>
    <t>12.31275 1.912685</t>
  </si>
  <si>
    <t>10.1485 1.265896</t>
  </si>
  <si>
    <t>&gt;</t>
  </si>
  <si>
    <t>cul</t>
  </si>
  <si>
    <t>tivar Tre</t>
  </si>
  <si>
    <t>atment</t>
  </si>
  <si>
    <t>N</t>
  </si>
  <si>
    <t>Procyanidin.B3</t>
  </si>
  <si>
    <t>63.5515 15.506848</t>
  </si>
  <si>
    <t>100.74725 17.122036</t>
  </si>
  <si>
    <t>99.043 31.811951</t>
  </si>
  <si>
    <t>179.61725 67.639829</t>
  </si>
  <si>
    <t>45.381 8.349857</t>
  </si>
  <si>
    <t>50.02275 18.5804</t>
  </si>
  <si>
    <t>60.284 17.025083</t>
  </si>
  <si>
    <t>43.32075 5.550148</t>
  </si>
  <si>
    <t>N Pro</t>
  </si>
  <si>
    <t>cyanidin.C1</t>
  </si>
  <si>
    <t>0.93675 0.34247831</t>
  </si>
  <si>
    <t>1.297 0.31315997</t>
  </si>
  <si>
    <t>1.55825 0.86565133</t>
  </si>
  <si>
    <t>1.82475 0.69520913</t>
  </si>
  <si>
    <t>0.35875 0.06479889</t>
  </si>
  <si>
    <t>0.312 0.1686777</t>
  </si>
  <si>
    <t>0.31925 0.07967578</t>
  </si>
  <si>
    <t>0.26175 0.07443943</t>
  </si>
  <si>
    <t>Quercetin</t>
  </si>
  <si>
    <t>60.35975 33.238968</t>
  </si>
  <si>
    <t>85.3305 15.540452</t>
  </si>
  <si>
    <t>86.6335 41.118139</t>
  </si>
  <si>
    <t>117.04125 50.416849</t>
  </si>
  <si>
    <t>37.8805 9.572324</t>
  </si>
  <si>
    <t>49.4895 28.36851</t>
  </si>
  <si>
    <t>38.5905 10.442036</t>
  </si>
  <si>
    <t>26.34 5.009971</t>
  </si>
  <si>
    <t>Quercet</t>
  </si>
  <si>
    <t>in.glucoside</t>
  </si>
  <si>
    <t>1.3755 0.4879019</t>
  </si>
  <si>
    <t>1.67475 0.2015603</t>
  </si>
  <si>
    <t>2.08375 0.9053899</t>
  </si>
  <si>
    <t>3.09375 1.1488359</t>
  </si>
  <si>
    <t>1.61525 0.3226671</t>
  </si>
  <si>
    <t>2.0425 0.8311232</t>
  </si>
  <si>
    <t>1.8435 0.3355166</t>
  </si>
  <si>
    <t>1.16825 0.1849844</t>
  </si>
  <si>
    <t>Rutin</t>
  </si>
  <si>
    <t>0 0</t>
  </si>
  <si>
    <t>4.56675 0.5032606</t>
  </si>
  <si>
    <t>5.52875 1.2322506</t>
  </si>
  <si>
    <t>5.156 0.7059646</t>
  </si>
  <si>
    <t>4.31775 0.1227208</t>
  </si>
  <si>
    <t>N P</t>
  </si>
  <si>
    <t>hloridzin</t>
  </si>
  <si>
    <t>2.12975 0.4504806</t>
  </si>
  <si>
    <t>3.278 0.4478982</t>
  </si>
  <si>
    <t>3 0.6094507</t>
  </si>
  <si>
    <t>4.81425 1.8268308</t>
  </si>
  <si>
    <t>0.99275 0.2088262</t>
  </si>
  <si>
    <t>1.366 0.3417438</t>
  </si>
  <si>
    <t>1.1975 0.24008</t>
  </si>
  <si>
    <t>1.276 0.1954947</t>
  </si>
  <si>
    <t>N N</t>
  </si>
  <si>
    <t>ar.7.gluc</t>
  </si>
  <si>
    <t>0.3615 0.03437174</t>
  </si>
  <si>
    <t>0.506 0.04835976</t>
  </si>
  <si>
    <t>0.53925 0.1242728</t>
  </si>
  <si>
    <t>0.89375 0.30893348</t>
  </si>
  <si>
    <t>0.25325 0.01742783</t>
  </si>
  <si>
    <t>0.30925 0.0431883</t>
  </si>
  <si>
    <t>0.3135 0.05222787</t>
  </si>
  <si>
    <t>0.24125 0.02218999</t>
  </si>
  <si>
    <t>N K.</t>
  </si>
  <si>
    <t>glucoside</t>
  </si>
  <si>
    <t>2.156 0.5055802</t>
  </si>
  <si>
    <t>3.6125 0.600761</t>
  </si>
  <si>
    <t>3.066 0.8275434</t>
  </si>
  <si>
    <t>5.95525 2.6984057</t>
  </si>
  <si>
    <t>1.20525 0.1799891</t>
  </si>
  <si>
    <t>1.454 0.4233724</t>
  </si>
  <si>
    <t>1.29775 0.2694134</t>
  </si>
  <si>
    <t>1.21225 0.1399502</t>
  </si>
  <si>
    <t>K.r</t>
  </si>
  <si>
    <t>utinoside</t>
  </si>
  <si>
    <t>1.79725 0.3309905</t>
  </si>
  <si>
    <t>2.36575 0.2886802</t>
  </si>
  <si>
    <t>1.7375 0.2486639</t>
  </si>
  <si>
    <t>2.25325 0.4819644</t>
  </si>
  <si>
    <t>N Hy</t>
  </si>
  <si>
    <t>droxybenzoic</t>
  </si>
  <si>
    <t>542.8725 171.083</t>
  </si>
  <si>
    <t>811.305 125.075</t>
  </si>
  <si>
    <t>1400.6065 306.5712</t>
  </si>
  <si>
    <t>2777.8085 879.7619</t>
  </si>
  <si>
    <t>1313.642 291.3759</t>
  </si>
  <si>
    <t>1583.048 292.7615</t>
  </si>
  <si>
    <t>880.459 138.3349</t>
  </si>
  <si>
    <t>767.3297 125.0105</t>
  </si>
  <si>
    <t>Hydro</t>
  </si>
  <si>
    <t>xybenzoic.2</t>
  </si>
  <si>
    <t>0.596 0.03497856</t>
  </si>
  <si>
    <t>0.79425 0.08780411</t>
  </si>
  <si>
    <t>0.9245 0.17315431</t>
  </si>
  <si>
    <t>1.44925 0.29694483</t>
  </si>
  <si>
    <t>0.719 0.04436966</t>
  </si>
  <si>
    <t>0.95575 0.0685728</t>
  </si>
  <si>
    <t>0.76525 0.06263835</t>
  </si>
  <si>
    <t>0.95375 0.11945527</t>
  </si>
  <si>
    <t>N Ga</t>
  </si>
  <si>
    <t>llic.acid</t>
  </si>
  <si>
    <t>0.116 0.003082207</t>
  </si>
  <si>
    <t>0.16275 0.021684768</t>
  </si>
  <si>
    <t>0.1715 0.034160162</t>
  </si>
  <si>
    <t>0.2735 0.081605249</t>
  </si>
  <si>
    <t>0.11675 0.007122441</t>
  </si>
  <si>
    <t>0.123 0.027510604</t>
  </si>
  <si>
    <t>0.10925 0.005720941</t>
  </si>
  <si>
    <t>0.12725 0.010964906</t>
  </si>
  <si>
    <t>N Ch</t>
  </si>
  <si>
    <t>lorogenic</t>
  </si>
  <si>
    <t>0.43125 0.01351157</t>
  </si>
  <si>
    <t>0.74 0.10570005</t>
  </si>
  <si>
    <t>0.657 0.14345441</t>
  </si>
  <si>
    <t>1.0965 0.47734832</t>
  </si>
  <si>
    <t>1.355 0.13427894</t>
  </si>
  <si>
    <t>1.593 0.20235818</t>
  </si>
  <si>
    <t>1.34775 0.08036311</t>
  </si>
  <si>
    <t>1.54525 0.1178858</t>
  </si>
  <si>
    <t>Catechin</t>
  </si>
  <si>
    <t>21.4245 4.006459</t>
  </si>
  <si>
    <t>29.39775 3.798552</t>
  </si>
  <si>
    <t>32.67925 9.347863</t>
  </si>
  <si>
    <t>50.0155 15.810264</t>
  </si>
  <si>
    <t>12.7235 1.3698</t>
  </si>
  <si>
    <t>14.4435 3.781923</t>
  </si>
  <si>
    <t>13.8935 1.85985</t>
  </si>
  <si>
    <t>12.79125 1.007184</t>
  </si>
  <si>
    <t>N Ep</t>
  </si>
  <si>
    <t>icatechin</t>
  </si>
  <si>
    <t>1.093 0.18558511</t>
  </si>
  <si>
    <t>1.7745 0.32060087</t>
  </si>
  <si>
    <t>1.46175 0.34346455</t>
  </si>
  <si>
    <t>2.7775 0.69798693</t>
  </si>
  <si>
    <t>0.46425 0.02818503</t>
  </si>
  <si>
    <t>0.5575 0.11404276</t>
  </si>
  <si>
    <t>0.52475 0.06641708</t>
  </si>
  <si>
    <t>0.48925 0.01844078</t>
  </si>
  <si>
    <t>Procyanidin B1</t>
  </si>
  <si>
    <t>17.43 ± 3.83 a</t>
  </si>
  <si>
    <t>27.04 ± 4.57 b</t>
  </si>
  <si>
    <t>25.50 ± 8.08 ab</t>
  </si>
  <si>
    <t>43.62 ± 14.55 b</t>
  </si>
  <si>
    <t>11.46 ± 1.67</t>
  </si>
  <si>
    <t>13.68 ± 5.34</t>
  </si>
  <si>
    <t>12.31 ± 1.91</t>
  </si>
  <si>
    <t>10.15 ± 1.27</t>
  </si>
  <si>
    <t>Procyanidin B3</t>
  </si>
  <si>
    <t>63.55 ± 15.51 a</t>
  </si>
  <si>
    <t>100.75 ± 17.12 b</t>
  </si>
  <si>
    <t>99.04 ± 31.81 ab</t>
  </si>
  <si>
    <t>179.62 ± 67.64 b</t>
  </si>
  <si>
    <t>45.38 ± 8.35</t>
  </si>
  <si>
    <t>50.02 ± 18.58</t>
  </si>
  <si>
    <t>60.28 ± 17.03</t>
  </si>
  <si>
    <t>43.32 ± 5.55</t>
  </si>
  <si>
    <t>Procyanidin C1</t>
  </si>
  <si>
    <t>0.94 ± 0.34 a</t>
  </si>
  <si>
    <t>1.30 ± 0.31 ab</t>
  </si>
  <si>
    <t>1.56 ± 0.87 ab</t>
  </si>
  <si>
    <t>1.82 ± 0.70 b</t>
  </si>
  <si>
    <t>0.36 ± 0.06</t>
  </si>
  <si>
    <t>0.31 ± 0.17</t>
  </si>
  <si>
    <t>0.32 ± 0.08</t>
  </si>
  <si>
    <t>0.26 ± 0.07</t>
  </si>
  <si>
    <t>21.42 ± 4.01 a</t>
  </si>
  <si>
    <t>29.40 ± 3.80 b</t>
  </si>
  <si>
    <t>32.68 ± 9.35 ab</t>
  </si>
  <si>
    <t>50.02 ± 15.81 b</t>
  </si>
  <si>
    <t>12.72 ± 1.37</t>
  </si>
  <si>
    <t>14.44 ± 3.78</t>
  </si>
  <si>
    <t>13.89 ± 1.86</t>
  </si>
  <si>
    <t>12.79 ± 1.01</t>
  </si>
  <si>
    <t>Epicatechin</t>
  </si>
  <si>
    <t>1.09 ± 0.19 a</t>
  </si>
  <si>
    <t>1.77 ± 0.32 ab</t>
  </si>
  <si>
    <t>1.46 ± 0.34 ab</t>
  </si>
  <si>
    <t>2.78 ± 0.70 b</t>
  </si>
  <si>
    <t>0.46 ± 0.03</t>
  </si>
  <si>
    <t>0.56 ± 0.11</t>
  </si>
  <si>
    <t>0.52 ± 0.07</t>
  </si>
  <si>
    <t>0.49 ± 0.02</t>
  </si>
  <si>
    <t>60.36 ± 33.24</t>
  </si>
  <si>
    <t>85.33 ± 15.54</t>
  </si>
  <si>
    <t>86.63 ± 41.12</t>
  </si>
  <si>
    <t>117.04 ± 50.42</t>
  </si>
  <si>
    <t>37.88 ± 9.57</t>
  </si>
  <si>
    <t>49.49 ± 28.37</t>
  </si>
  <si>
    <t>38.59 ± 10.44</t>
  </si>
  <si>
    <t>26.34 ± 5.01</t>
  </si>
  <si>
    <r>
      <t>Quercetin-3-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-glucoside</t>
    </r>
  </si>
  <si>
    <t>1.38 ± 0.49 ab</t>
  </si>
  <si>
    <t>1.67 ± 0.20 ab</t>
  </si>
  <si>
    <t>2.08 ± 0.91 b</t>
  </si>
  <si>
    <t>3.09 ± 1.15 a</t>
  </si>
  <si>
    <t>1.62 ± 0.32</t>
  </si>
  <si>
    <t>2.04 ± 0.83</t>
  </si>
  <si>
    <t>1.84 ± 0.34</t>
  </si>
  <si>
    <t>1.17 ± 0.18</t>
  </si>
  <si>
    <t>0.00 ± 0.00</t>
  </si>
  <si>
    <t>4.57 ± 0.50</t>
  </si>
  <si>
    <t>5.53 ± 1.23</t>
  </si>
  <si>
    <t>5.16 ± 0.71</t>
  </si>
  <si>
    <t>4.32 ± 0.12</t>
  </si>
  <si>
    <t>Phloridzin</t>
  </si>
  <si>
    <t>2.13 ± 0.45 a</t>
  </si>
  <si>
    <t>3.28 ± 0.45 b</t>
  </si>
  <si>
    <t>3.00 ± 0.61 ab</t>
  </si>
  <si>
    <t>4.81 ± 1.83 ab</t>
  </si>
  <si>
    <t>0.99 ± 0.21</t>
  </si>
  <si>
    <t>1.37 ± 0.34</t>
  </si>
  <si>
    <t>1.20 ± 0.24</t>
  </si>
  <si>
    <t>1.28 ± 0.20</t>
  </si>
  <si>
    <r>
      <t>Naringenin-7-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-glucoside</t>
    </r>
  </si>
  <si>
    <t>0.36 ± 0.03 a</t>
  </si>
  <si>
    <t>0.51 ± 0.05 b</t>
  </si>
  <si>
    <t>0.54 ± 0.12 ab</t>
  </si>
  <si>
    <t>0.89 ± 0.31 ab</t>
  </si>
  <si>
    <t>0.25 ± 0.02</t>
  </si>
  <si>
    <t>0.31 ± 0.04</t>
  </si>
  <si>
    <t>0.31 ± 0.05</t>
  </si>
  <si>
    <t>0.24 ± 0.02</t>
  </si>
  <si>
    <r>
      <t>Kaempferol-3-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-glucoside</t>
    </r>
  </si>
  <si>
    <t>2.16 ± 0.51 a</t>
  </si>
  <si>
    <t>3.61 ± 0.60 b</t>
  </si>
  <si>
    <t>3.07 ± 0.83 ab</t>
  </si>
  <si>
    <t>5.96 ± 2.70 ab</t>
  </si>
  <si>
    <t>1.21 ± 0.18</t>
  </si>
  <si>
    <t>1.45 ± 0.42</t>
  </si>
  <si>
    <t>1.30 ± 0.27</t>
  </si>
  <si>
    <t>1.21 ± 0.14</t>
  </si>
  <si>
    <r>
      <t>Kaempferol-3-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-rutinoside</t>
    </r>
  </si>
  <si>
    <t>1.80 ± 0.33 a</t>
  </si>
  <si>
    <t>2.37 ± 0.29 b</t>
  </si>
  <si>
    <t>1.74 ± 0.25 ab</t>
  </si>
  <si>
    <t>2.25 ± 0.48 ab</t>
  </si>
  <si>
    <t>4-Hydroxybenzoic acid</t>
  </si>
  <si>
    <t>542.87 ± 171.08 a</t>
  </si>
  <si>
    <t>811.31 ± 125.08 ab</t>
  </si>
  <si>
    <t>1400.61 ± 306.57 b</t>
  </si>
  <si>
    <t>2777.81 ± 879.76 b</t>
  </si>
  <si>
    <t>1313.64 ± 291.38 bc</t>
  </si>
  <si>
    <t>1583.05 ± 292.76 c</t>
  </si>
  <si>
    <t>880.46 ± 138.33 ab</t>
  </si>
  <si>
    <t>767.33 ± 125.01 a</t>
  </si>
  <si>
    <t>4-Hydroxybenzoic acid isomer</t>
  </si>
  <si>
    <t>0.60 ± 0.03 a</t>
  </si>
  <si>
    <t>0.79 ± 0.09 b</t>
  </si>
  <si>
    <t>0.92 ± 0.17 abc</t>
  </si>
  <si>
    <t>1.45 ± 0.30 c</t>
  </si>
  <si>
    <t>0.72 ± 0.04 a</t>
  </si>
  <si>
    <t>0.96 ± 0.07 b</t>
  </si>
  <si>
    <t>0.77 ± 0.06 ab</t>
  </si>
  <si>
    <t>0.95 ± 0.12 ab</t>
  </si>
  <si>
    <t>Gallic acid</t>
  </si>
  <si>
    <t>0.12 ± 0.00 a</t>
  </si>
  <si>
    <t>0.16 ± 0.02 b</t>
  </si>
  <si>
    <t>0.17 ± 0.03 ab</t>
  </si>
  <si>
    <t>0.27 ± 0.08 b</t>
  </si>
  <si>
    <t>0.12 ± 0.01</t>
  </si>
  <si>
    <t>0.12 ± 0.03</t>
  </si>
  <si>
    <t>0.11 ± 0.01</t>
  </si>
  <si>
    <t>0.13 ± 0.01</t>
  </si>
  <si>
    <t>Chlorogenic acid</t>
  </si>
  <si>
    <t>0.43 ± 0.01 b</t>
  </si>
  <si>
    <t>0.74 ± 0.11 a</t>
  </si>
  <si>
    <t>0.66 ± 0.14 ab</t>
  </si>
  <si>
    <t>1.10 ± 0.48 ab</t>
  </si>
  <si>
    <t>1.36 ± 0.13</t>
  </si>
  <si>
    <t>1.59 ± 0.20</t>
  </si>
  <si>
    <t>1.35 ± 0.08</t>
  </si>
  <si>
    <t>1.55 ± 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</si>
</sst>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rgb="FF1E1E1E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C649-FBDA-44F7-BD30-C77E8CF98200}">
  <dimension ref="A1:X168"/>
  <sheetViews>
    <sheetView tabSelected="1" topLeftCell="C6" workbookViewId="0">
      <selection activeCell="X7" sqref="X7"/>
    </sheetView>
  </sheetViews>
  <sheetFormatPr defaultColWidth="11.42578125" defaultRowHeight="15"/>
  <cols>
    <col min="9" max="10" width="21.28515625" customWidth="1"/>
  </cols>
  <sheetData>
    <row r="1" spans="1:24" ht="15.75">
      <c r="A1" t="s">
        <v>0</v>
      </c>
      <c r="B1" t="s">
        <v>1</v>
      </c>
      <c r="C1" t="s">
        <v>2</v>
      </c>
      <c r="D1" t="s">
        <v>3</v>
      </c>
      <c r="E1" s="10" t="s">
        <v>4</v>
      </c>
      <c r="F1" t="s">
        <v>5</v>
      </c>
      <c r="G1" t="s">
        <v>6</v>
      </c>
      <c r="H1" t="s">
        <v>7</v>
      </c>
      <c r="O1" s="2"/>
      <c r="P1" s="9" t="s">
        <v>8</v>
      </c>
      <c r="Q1" s="9"/>
      <c r="R1" s="9"/>
      <c r="S1" s="9"/>
      <c r="T1" s="8"/>
      <c r="U1" s="9" t="s">
        <v>9</v>
      </c>
      <c r="V1" s="9"/>
      <c r="W1" s="9"/>
      <c r="X1" s="9"/>
    </row>
    <row r="2" spans="1:24" ht="15.75">
      <c r="A2">
        <v>1</v>
      </c>
      <c r="B2" t="s">
        <v>10</v>
      </c>
      <c r="C2" t="s">
        <v>11</v>
      </c>
      <c r="D2">
        <v>4</v>
      </c>
      <c r="E2">
        <v>17.4255</v>
      </c>
      <c r="F2">
        <v>7.6564819999999996</v>
      </c>
      <c r="G2">
        <v>3.8282409999999998</v>
      </c>
      <c r="H2">
        <v>12.183171</v>
      </c>
      <c r="I2" s="1" t="str">
        <f>E2&amp;" "&amp;G2</f>
        <v>17,4255 3,828241</v>
      </c>
      <c r="J2" t="s">
        <v>12</v>
      </c>
      <c r="L2" t="s">
        <v>13</v>
      </c>
      <c r="O2" s="4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/>
      <c r="U2" s="5" t="s">
        <v>15</v>
      </c>
      <c r="V2" s="5" t="s">
        <v>16</v>
      </c>
      <c r="W2" s="5" t="s">
        <v>17</v>
      </c>
      <c r="X2" s="5" t="s">
        <v>18</v>
      </c>
    </row>
    <row r="3" spans="1:24" ht="15.75">
      <c r="A3">
        <v>2</v>
      </c>
      <c r="B3" t="s">
        <v>10</v>
      </c>
      <c r="C3" t="s">
        <v>19</v>
      </c>
      <c r="D3">
        <v>4</v>
      </c>
      <c r="E3">
        <v>27.041499999999999</v>
      </c>
      <c r="F3">
        <v>9.1317509999999995</v>
      </c>
      <c r="G3">
        <v>4.5658760000000003</v>
      </c>
      <c r="H3">
        <v>14.530654</v>
      </c>
      <c r="I3" s="1" t="str">
        <f t="shared" ref="I3:I9" si="0">E3&amp;" "&amp;G3</f>
        <v>27,0415 4,565876</v>
      </c>
      <c r="J3" t="s">
        <v>20</v>
      </c>
      <c r="L3" t="s">
        <v>20</v>
      </c>
      <c r="O3" s="11" t="s">
        <v>21</v>
      </c>
      <c r="P3" s="3">
        <f>E2+E13+E24</f>
        <v>81.913750000000007</v>
      </c>
      <c r="Q3" s="3">
        <f>E3+E14+E25</f>
        <v>129.08574999999999</v>
      </c>
      <c r="R3" s="3">
        <f>E4+E15+E26</f>
        <v>126.10225000000001</v>
      </c>
      <c r="S3" s="3">
        <f>E5+E16+E27</f>
        <v>225.06274999999999</v>
      </c>
      <c r="T3" s="3"/>
      <c r="U3" s="3">
        <f>E6+E17+E28</f>
        <v>57.201250000000002</v>
      </c>
      <c r="V3" s="3">
        <f>E7+E18+E29</f>
        <v>64.013249999999999</v>
      </c>
      <c r="W3" s="3">
        <f>E8+E19+E30</f>
        <v>72.915999999999997</v>
      </c>
      <c r="X3" s="3">
        <f>E9+E20+E31</f>
        <v>53.730999999999995</v>
      </c>
    </row>
    <row r="4" spans="1:24" ht="15.75">
      <c r="A4">
        <v>3</v>
      </c>
      <c r="B4" t="s">
        <v>10</v>
      </c>
      <c r="C4" t="s">
        <v>22</v>
      </c>
      <c r="D4">
        <v>4</v>
      </c>
      <c r="E4">
        <v>25.501000000000001</v>
      </c>
      <c r="F4">
        <v>16.150106000000001</v>
      </c>
      <c r="G4">
        <v>8.0750530000000005</v>
      </c>
      <c r="H4">
        <v>25.698422000000001</v>
      </c>
      <c r="I4" s="1" t="str">
        <f t="shared" si="0"/>
        <v>25,501 8,075053</v>
      </c>
      <c r="J4" t="s">
        <v>23</v>
      </c>
      <c r="L4" t="s">
        <v>23</v>
      </c>
      <c r="O4" s="12" t="s">
        <v>24</v>
      </c>
      <c r="P4">
        <f>E151+E161</f>
        <v>22.517499999999998</v>
      </c>
      <c r="Q4">
        <f>E152+E162</f>
        <v>31.172249999999998</v>
      </c>
      <c r="R4">
        <f>E153+E163</f>
        <v>34.141000000000005</v>
      </c>
      <c r="S4">
        <f>E154+E164</f>
        <v>52.793000000000006</v>
      </c>
      <c r="U4">
        <f>E155+E165</f>
        <v>13.187749999999999</v>
      </c>
      <c r="V4">
        <f>E156+E166</f>
        <v>15.000999999999999</v>
      </c>
      <c r="W4">
        <f>E157+E167</f>
        <v>14.41825</v>
      </c>
      <c r="X4">
        <f>E158+E168</f>
        <v>13.2805</v>
      </c>
    </row>
    <row r="5" spans="1:24" ht="15.75">
      <c r="A5">
        <v>4</v>
      </c>
      <c r="B5" t="s">
        <v>10</v>
      </c>
      <c r="C5" t="s">
        <v>25</v>
      </c>
      <c r="D5">
        <v>4</v>
      </c>
      <c r="E5">
        <v>43.620750000000001</v>
      </c>
      <c r="F5">
        <v>29.101476000000002</v>
      </c>
      <c r="G5">
        <v>14.550738000000001</v>
      </c>
      <c r="H5">
        <v>46.306942999999997</v>
      </c>
      <c r="I5" s="1" t="str">
        <f t="shared" si="0"/>
        <v>43,62075 14,550738</v>
      </c>
      <c r="J5" t="s">
        <v>26</v>
      </c>
      <c r="L5" t="s">
        <v>26</v>
      </c>
      <c r="O5" s="14" t="s">
        <v>27</v>
      </c>
      <c r="P5">
        <f>E$34+E$44+E$55+E$67+E$87+E$97</f>
        <v>66.021000000000001</v>
      </c>
      <c r="Q5">
        <f>E35+E45+E56+E68+E78+E88+E98</f>
        <v>94.401750000000007</v>
      </c>
      <c r="R5">
        <f>E36+E46+E57+E69+E79+E89+E99</f>
        <v>95.322499999999991</v>
      </c>
      <c r="S5">
        <f>E37+E47+E58+E70+E100</f>
        <v>124.94925000000001</v>
      </c>
      <c r="U5">
        <f>E38+E48+E59+E71+E81+E91+E101</f>
        <v>48.311</v>
      </c>
      <c r="V5">
        <f>E39+E49+E60+E72+E82+E92+E102</f>
        <v>62.555749999999996</v>
      </c>
      <c r="W5">
        <f>E40+E50+E61+E73+E83+E93+E103</f>
        <v>50.13624999999999</v>
      </c>
      <c r="X5">
        <f>E41+E51+E62+E74+E84+E94+E104</f>
        <v>36.808750000000003</v>
      </c>
    </row>
    <row r="6" spans="1:24" ht="15.75">
      <c r="A6">
        <v>5</v>
      </c>
      <c r="B6" t="s">
        <v>28</v>
      </c>
      <c r="C6" t="s">
        <v>11</v>
      </c>
      <c r="D6">
        <v>4</v>
      </c>
      <c r="E6">
        <v>11.461499999999999</v>
      </c>
      <c r="F6">
        <v>3.3417750000000002</v>
      </c>
      <c r="G6">
        <v>1.670887</v>
      </c>
      <c r="H6">
        <v>5.3175090000000003</v>
      </c>
      <c r="I6" s="1" t="str">
        <f t="shared" si="0"/>
        <v>11,4615 1,670887</v>
      </c>
      <c r="J6" t="s">
        <v>29</v>
      </c>
      <c r="L6" t="s">
        <v>29</v>
      </c>
      <c r="O6" s="13" t="s">
        <v>30</v>
      </c>
      <c r="P6">
        <f>E107+E129+E140</f>
        <v>543.41974999999991</v>
      </c>
      <c r="Q6">
        <f>E108+E118+E130+E141</f>
        <v>813.00199999999995</v>
      </c>
      <c r="R6">
        <f>E109+E119+E131+E142</f>
        <v>1402.3595</v>
      </c>
      <c r="S6">
        <f>E110+E120+E132+E143</f>
        <v>2780.6277500000001</v>
      </c>
      <c r="U6">
        <f>E111+E121+E133+E144</f>
        <v>1315.83275</v>
      </c>
      <c r="V6">
        <f>E112+E122+E134+E145</f>
        <v>1585.7197500000002</v>
      </c>
      <c r="W6">
        <f>E113+E123+E135+E146</f>
        <v>882.68124999999998</v>
      </c>
      <c r="X6">
        <f>E114+E124+E136+E147</f>
        <v>769.95595000000003</v>
      </c>
    </row>
    <row r="7" spans="1:24" ht="15.75">
      <c r="A7">
        <v>6</v>
      </c>
      <c r="B7" t="s">
        <v>28</v>
      </c>
      <c r="C7" t="s">
        <v>19</v>
      </c>
      <c r="D7">
        <v>4</v>
      </c>
      <c r="E7">
        <v>13.6785</v>
      </c>
      <c r="F7">
        <v>10.676963000000001</v>
      </c>
      <c r="G7">
        <v>5.3384819999999999</v>
      </c>
      <c r="H7">
        <v>16.989431</v>
      </c>
      <c r="I7" s="1" t="str">
        <f t="shared" si="0"/>
        <v>13,6785 5,338482</v>
      </c>
      <c r="J7" t="s">
        <v>31</v>
      </c>
      <c r="L7" t="s">
        <v>31</v>
      </c>
    </row>
    <row r="8" spans="1:24" ht="15.75">
      <c r="A8">
        <v>7</v>
      </c>
      <c r="B8" t="s">
        <v>28</v>
      </c>
      <c r="C8" t="s">
        <v>22</v>
      </c>
      <c r="D8">
        <v>4</v>
      </c>
      <c r="E8">
        <v>12.312749999999999</v>
      </c>
      <c r="F8">
        <v>3.8253710000000001</v>
      </c>
      <c r="G8">
        <v>1.912685</v>
      </c>
      <c r="H8">
        <v>6.0870189999999997</v>
      </c>
      <c r="I8" s="1" t="str">
        <f t="shared" si="0"/>
        <v>12,31275 1,912685</v>
      </c>
      <c r="J8" t="s">
        <v>32</v>
      </c>
      <c r="L8" t="s">
        <v>32</v>
      </c>
    </row>
    <row r="9" spans="1:24" ht="15.75">
      <c r="A9">
        <v>8</v>
      </c>
      <c r="B9" t="s">
        <v>28</v>
      </c>
      <c r="C9" t="s">
        <v>25</v>
      </c>
      <c r="D9">
        <v>4</v>
      </c>
      <c r="E9">
        <v>10.1485</v>
      </c>
      <c r="F9">
        <v>2.5317919999999998</v>
      </c>
      <c r="G9">
        <v>1.2658959999999999</v>
      </c>
      <c r="H9">
        <v>4.0286460000000002</v>
      </c>
      <c r="I9" s="1" t="str">
        <f t="shared" si="0"/>
        <v>10,1485 1,265896</v>
      </c>
      <c r="J9" t="s">
        <v>33</v>
      </c>
      <c r="L9" t="s">
        <v>33</v>
      </c>
    </row>
    <row r="11" spans="1:24">
      <c r="A11" t="s">
        <v>34</v>
      </c>
    </row>
    <row r="12" spans="1:24">
      <c r="A12" t="s">
        <v>35</v>
      </c>
      <c r="B12" t="s">
        <v>36</v>
      </c>
      <c r="C12" t="s">
        <v>37</v>
      </c>
      <c r="D12" t="s">
        <v>38</v>
      </c>
      <c r="E12" s="10" t="s">
        <v>39</v>
      </c>
      <c r="F12" t="s">
        <v>5</v>
      </c>
      <c r="G12" t="s">
        <v>6</v>
      </c>
      <c r="H12" t="s">
        <v>7</v>
      </c>
    </row>
    <row r="13" spans="1:24" ht="15.75">
      <c r="A13">
        <v>1</v>
      </c>
      <c r="B13" t="s">
        <v>10</v>
      </c>
      <c r="C13" t="s">
        <v>11</v>
      </c>
      <c r="D13">
        <v>4</v>
      </c>
      <c r="E13">
        <v>63.551499999999997</v>
      </c>
      <c r="F13">
        <v>31.0137</v>
      </c>
      <c r="G13">
        <v>15.506848</v>
      </c>
      <c r="H13">
        <v>49.349710000000002</v>
      </c>
      <c r="I13" s="1" t="str">
        <f>E13&amp;" "&amp;G13</f>
        <v>63,5515 15,506848</v>
      </c>
      <c r="J13" t="s">
        <v>40</v>
      </c>
    </row>
    <row r="14" spans="1:24" ht="15.75">
      <c r="A14">
        <v>2</v>
      </c>
      <c r="B14" t="s">
        <v>10</v>
      </c>
      <c r="C14" t="s">
        <v>19</v>
      </c>
      <c r="D14">
        <v>4</v>
      </c>
      <c r="E14">
        <v>100.74724999999999</v>
      </c>
      <c r="F14">
        <v>34.244070000000001</v>
      </c>
      <c r="G14">
        <v>17.122036000000001</v>
      </c>
      <c r="H14">
        <v>54.489960000000004</v>
      </c>
      <c r="I14" s="1" t="str">
        <f t="shared" ref="I14:I20" si="1">E14&amp;" "&amp;G14</f>
        <v>100,74725 17,122036</v>
      </c>
      <c r="J14" t="s">
        <v>41</v>
      </c>
    </row>
    <row r="15" spans="1:24" ht="15.75">
      <c r="A15">
        <v>3</v>
      </c>
      <c r="B15" t="s">
        <v>10</v>
      </c>
      <c r="C15" t="s">
        <v>22</v>
      </c>
      <c r="D15">
        <v>4</v>
      </c>
      <c r="E15">
        <v>99.043000000000006</v>
      </c>
      <c r="F15">
        <v>63.623899999999999</v>
      </c>
      <c r="G15">
        <v>31.811951000000001</v>
      </c>
      <c r="H15">
        <v>101.23983</v>
      </c>
      <c r="I15" s="1" t="str">
        <f t="shared" si="1"/>
        <v>99,043 31,811951</v>
      </c>
      <c r="J15" t="s">
        <v>42</v>
      </c>
    </row>
    <row r="16" spans="1:24" ht="15.75">
      <c r="A16">
        <v>4</v>
      </c>
      <c r="B16" t="s">
        <v>10</v>
      </c>
      <c r="C16" t="s">
        <v>25</v>
      </c>
      <c r="D16">
        <v>4</v>
      </c>
      <c r="E16">
        <v>179.61725000000001</v>
      </c>
      <c r="F16">
        <v>135.27966000000001</v>
      </c>
      <c r="G16">
        <v>67.639829000000006</v>
      </c>
      <c r="H16">
        <v>215.26012</v>
      </c>
      <c r="I16" s="1" t="str">
        <f t="shared" si="1"/>
        <v>179,61725 67,639829</v>
      </c>
      <c r="J16" t="s">
        <v>43</v>
      </c>
    </row>
    <row r="17" spans="1:10" ht="15.75">
      <c r="A17">
        <v>5</v>
      </c>
      <c r="B17" t="s">
        <v>28</v>
      </c>
      <c r="C17" t="s">
        <v>11</v>
      </c>
      <c r="D17">
        <v>4</v>
      </c>
      <c r="E17">
        <v>45.381</v>
      </c>
      <c r="F17">
        <v>16.69971</v>
      </c>
      <c r="G17">
        <v>8.3498570000000001</v>
      </c>
      <c r="H17">
        <v>26.572970000000002</v>
      </c>
      <c r="I17" s="1" t="str">
        <f t="shared" si="1"/>
        <v>45,381 8,349857</v>
      </c>
      <c r="J17" t="s">
        <v>44</v>
      </c>
    </row>
    <row r="18" spans="1:10" ht="15.75">
      <c r="A18">
        <v>6</v>
      </c>
      <c r="B18" t="s">
        <v>28</v>
      </c>
      <c r="C18" t="s">
        <v>19</v>
      </c>
      <c r="D18">
        <v>4</v>
      </c>
      <c r="E18">
        <v>50.022750000000002</v>
      </c>
      <c r="F18">
        <v>37.160800000000002</v>
      </c>
      <c r="G18">
        <v>18.580400000000001</v>
      </c>
      <c r="H18">
        <v>59.131129999999999</v>
      </c>
      <c r="I18" s="1" t="str">
        <f t="shared" si="1"/>
        <v>50,02275 18,5804</v>
      </c>
      <c r="J18" t="s">
        <v>45</v>
      </c>
    </row>
    <row r="19" spans="1:10" ht="15.75">
      <c r="A19">
        <v>7</v>
      </c>
      <c r="B19" t="s">
        <v>28</v>
      </c>
      <c r="C19" t="s">
        <v>22</v>
      </c>
      <c r="D19">
        <v>4</v>
      </c>
      <c r="E19">
        <v>60.283999999999999</v>
      </c>
      <c r="F19">
        <v>34.050170000000001</v>
      </c>
      <c r="G19">
        <v>17.025082999999999</v>
      </c>
      <c r="H19">
        <v>54.18141</v>
      </c>
      <c r="I19" s="1" t="str">
        <f t="shared" si="1"/>
        <v>60,284 17,025083</v>
      </c>
      <c r="J19" t="s">
        <v>46</v>
      </c>
    </row>
    <row r="20" spans="1:10" ht="15.75">
      <c r="A20">
        <v>8</v>
      </c>
      <c r="B20" t="s">
        <v>28</v>
      </c>
      <c r="C20" t="s">
        <v>25</v>
      </c>
      <c r="D20">
        <v>4</v>
      </c>
      <c r="E20">
        <v>43.320749999999997</v>
      </c>
      <c r="F20">
        <v>11.100300000000001</v>
      </c>
      <c r="G20">
        <v>5.5501480000000001</v>
      </c>
      <c r="H20">
        <v>17.663049999999998</v>
      </c>
      <c r="I20" s="1" t="str">
        <f t="shared" si="1"/>
        <v>43,32075 5,550148</v>
      </c>
      <c r="J20" t="s">
        <v>47</v>
      </c>
    </row>
    <row r="23" spans="1:10">
      <c r="A23" t="s">
        <v>35</v>
      </c>
      <c r="B23" t="s">
        <v>36</v>
      </c>
      <c r="C23" t="s">
        <v>37</v>
      </c>
      <c r="D23" t="s">
        <v>48</v>
      </c>
      <c r="E23" s="10" t="s">
        <v>49</v>
      </c>
      <c r="F23" t="s">
        <v>5</v>
      </c>
      <c r="G23" t="s">
        <v>6</v>
      </c>
      <c r="H23" t="s">
        <v>7</v>
      </c>
    </row>
    <row r="24" spans="1:10" ht="15.75">
      <c r="A24">
        <v>1</v>
      </c>
      <c r="B24" t="s">
        <v>10</v>
      </c>
      <c r="C24" t="s">
        <v>11</v>
      </c>
      <c r="D24">
        <v>4</v>
      </c>
      <c r="E24">
        <v>0.93674999999999997</v>
      </c>
      <c r="F24">
        <v>0.68495660000000003</v>
      </c>
      <c r="G24">
        <v>0.34247831000000001</v>
      </c>
      <c r="H24">
        <v>1.0899188</v>
      </c>
      <c r="I24" s="1" t="str">
        <f>E24&amp;" "&amp;G24</f>
        <v>0,93675 0,34247831</v>
      </c>
      <c r="J24" t="s">
        <v>50</v>
      </c>
    </row>
    <row r="25" spans="1:10" ht="15.75">
      <c r="A25">
        <v>2</v>
      </c>
      <c r="B25" t="s">
        <v>10</v>
      </c>
      <c r="C25" t="s">
        <v>19</v>
      </c>
      <c r="D25">
        <v>4</v>
      </c>
      <c r="E25">
        <v>1.2969999999999999</v>
      </c>
      <c r="F25">
        <v>0.62631990000000004</v>
      </c>
      <c r="G25">
        <v>0.31315997000000001</v>
      </c>
      <c r="H25">
        <v>0.99661480000000002</v>
      </c>
      <c r="I25" s="1" t="str">
        <f t="shared" ref="I25:I31" si="2">E25&amp;" "&amp;G25</f>
        <v>1,297 0,31315997</v>
      </c>
      <c r="J25" t="s">
        <v>51</v>
      </c>
    </row>
    <row r="26" spans="1:10" ht="15.75">
      <c r="A26">
        <v>3</v>
      </c>
      <c r="B26" t="s">
        <v>10</v>
      </c>
      <c r="C26" t="s">
        <v>22</v>
      </c>
      <c r="D26">
        <v>4</v>
      </c>
      <c r="E26">
        <v>1.5582499999999999</v>
      </c>
      <c r="F26">
        <v>1.7313027000000001</v>
      </c>
      <c r="G26">
        <v>0.86565133000000005</v>
      </c>
      <c r="H26">
        <v>2.7548889000000001</v>
      </c>
      <c r="I26" s="1" t="str">
        <f t="shared" si="2"/>
        <v>1,55825 0,86565133</v>
      </c>
      <c r="J26" t="s">
        <v>52</v>
      </c>
    </row>
    <row r="27" spans="1:10" ht="15.75">
      <c r="A27">
        <v>4</v>
      </c>
      <c r="B27" t="s">
        <v>10</v>
      </c>
      <c r="C27" t="s">
        <v>25</v>
      </c>
      <c r="D27">
        <v>4</v>
      </c>
      <c r="E27">
        <v>1.8247500000000001</v>
      </c>
      <c r="F27">
        <v>1.3904183000000001</v>
      </c>
      <c r="G27">
        <v>0.69520912999999995</v>
      </c>
      <c r="H27">
        <v>2.2124657000000001</v>
      </c>
      <c r="I27" s="1" t="str">
        <f t="shared" si="2"/>
        <v>1,82475 0,69520913</v>
      </c>
      <c r="J27" t="s">
        <v>53</v>
      </c>
    </row>
    <row r="28" spans="1:10" ht="15.75">
      <c r="A28">
        <v>5</v>
      </c>
      <c r="B28" t="s">
        <v>28</v>
      </c>
      <c r="C28" t="s">
        <v>11</v>
      </c>
      <c r="D28">
        <v>4</v>
      </c>
      <c r="E28">
        <v>0.35875000000000001</v>
      </c>
      <c r="F28">
        <v>0.12959780000000001</v>
      </c>
      <c r="G28">
        <v>6.4798889999999998E-2</v>
      </c>
      <c r="H28">
        <v>0.20621900000000001</v>
      </c>
      <c r="I28" s="1" t="str">
        <f t="shared" si="2"/>
        <v>0,35875 0,06479889</v>
      </c>
      <c r="J28" t="s">
        <v>54</v>
      </c>
    </row>
    <row r="29" spans="1:10" ht="15.75">
      <c r="A29">
        <v>6</v>
      </c>
      <c r="B29" t="s">
        <v>28</v>
      </c>
      <c r="C29" t="s">
        <v>19</v>
      </c>
      <c r="D29">
        <v>4</v>
      </c>
      <c r="E29">
        <v>0.312</v>
      </c>
      <c r="F29">
        <v>0.33735540000000003</v>
      </c>
      <c r="G29">
        <v>0.16867770000000001</v>
      </c>
      <c r="H29">
        <v>0.5368077</v>
      </c>
      <c r="I29" s="1" t="str">
        <f t="shared" si="2"/>
        <v>0,312 0,1686777</v>
      </c>
      <c r="J29" t="s">
        <v>55</v>
      </c>
    </row>
    <row r="30" spans="1:10" ht="15.75">
      <c r="A30">
        <v>7</v>
      </c>
      <c r="B30" t="s">
        <v>28</v>
      </c>
      <c r="C30" t="s">
        <v>22</v>
      </c>
      <c r="D30">
        <v>4</v>
      </c>
      <c r="E30">
        <v>0.31924999999999998</v>
      </c>
      <c r="F30">
        <v>0.15935160000000001</v>
      </c>
      <c r="G30">
        <v>7.9675780000000002E-2</v>
      </c>
      <c r="H30">
        <v>0.25356390000000001</v>
      </c>
      <c r="I30" s="1" t="str">
        <f t="shared" si="2"/>
        <v>0,31925 0,07967578</v>
      </c>
      <c r="J30" t="s">
        <v>56</v>
      </c>
    </row>
    <row r="31" spans="1:10" ht="15.75">
      <c r="A31">
        <v>8</v>
      </c>
      <c r="B31" t="s">
        <v>28</v>
      </c>
      <c r="C31" t="s">
        <v>25</v>
      </c>
      <c r="D31">
        <v>4</v>
      </c>
      <c r="E31">
        <v>0.26174999999999998</v>
      </c>
      <c r="F31">
        <v>0.14887890000000001</v>
      </c>
      <c r="G31">
        <v>7.4439430000000001E-2</v>
      </c>
      <c r="H31">
        <v>0.23689950000000001</v>
      </c>
      <c r="I31" s="1" t="str">
        <f t="shared" si="2"/>
        <v>0,26175 0,07443943</v>
      </c>
      <c r="J31" t="s">
        <v>57</v>
      </c>
    </row>
    <row r="33" spans="1:10">
      <c r="A33" t="s">
        <v>35</v>
      </c>
      <c r="B33" t="s">
        <v>36</v>
      </c>
      <c r="C33" t="s">
        <v>37</v>
      </c>
      <c r="D33" t="s">
        <v>38</v>
      </c>
      <c r="E33" s="14" t="s">
        <v>58</v>
      </c>
      <c r="F33" t="s">
        <v>5</v>
      </c>
      <c r="G33" t="s">
        <v>6</v>
      </c>
      <c r="H33" t="s">
        <v>7</v>
      </c>
    </row>
    <row r="34" spans="1:10" ht="15.75">
      <c r="A34">
        <v>1</v>
      </c>
      <c r="B34" t="s">
        <v>10</v>
      </c>
      <c r="C34" t="s">
        <v>11</v>
      </c>
      <c r="D34">
        <v>4</v>
      </c>
      <c r="E34">
        <v>60.359749999999998</v>
      </c>
      <c r="F34">
        <v>66.477940000000004</v>
      </c>
      <c r="G34">
        <v>33.238968</v>
      </c>
      <c r="H34">
        <v>105.78122999999999</v>
      </c>
      <c r="I34" s="1" t="str">
        <f>E34&amp;" "&amp;G34</f>
        <v>60,35975 33,238968</v>
      </c>
      <c r="J34" t="s">
        <v>59</v>
      </c>
    </row>
    <row r="35" spans="1:10" ht="15.75">
      <c r="A35">
        <v>2</v>
      </c>
      <c r="B35" t="s">
        <v>10</v>
      </c>
      <c r="C35" t="s">
        <v>19</v>
      </c>
      <c r="D35">
        <v>4</v>
      </c>
      <c r="E35">
        <v>85.330500000000001</v>
      </c>
      <c r="F35">
        <v>31.0809</v>
      </c>
      <c r="G35">
        <v>15.540452</v>
      </c>
      <c r="H35">
        <v>49.456650000000003</v>
      </c>
      <c r="I35" s="1" t="str">
        <f t="shared" ref="I35:I41" si="3">E35&amp;" "&amp;G35</f>
        <v>85,3305 15,540452</v>
      </c>
      <c r="J35" t="s">
        <v>60</v>
      </c>
    </row>
    <row r="36" spans="1:10" ht="15.75">
      <c r="A36">
        <v>3</v>
      </c>
      <c r="B36" t="s">
        <v>10</v>
      </c>
      <c r="C36" t="s">
        <v>22</v>
      </c>
      <c r="D36">
        <v>4</v>
      </c>
      <c r="E36">
        <v>86.633499999999998</v>
      </c>
      <c r="F36">
        <v>82.236279999999994</v>
      </c>
      <c r="G36">
        <v>41.118138999999999</v>
      </c>
      <c r="H36">
        <v>130.85626999999999</v>
      </c>
      <c r="I36" s="1" t="str">
        <f t="shared" si="3"/>
        <v>86,6335 41,118139</v>
      </c>
      <c r="J36" t="s">
        <v>61</v>
      </c>
    </row>
    <row r="37" spans="1:10" ht="15.75">
      <c r="A37">
        <v>4</v>
      </c>
      <c r="B37" t="s">
        <v>10</v>
      </c>
      <c r="C37" t="s">
        <v>25</v>
      </c>
      <c r="D37">
        <v>4</v>
      </c>
      <c r="E37">
        <v>117.04125000000001</v>
      </c>
      <c r="F37">
        <v>100.83369999999999</v>
      </c>
      <c r="G37">
        <v>50.416848999999999</v>
      </c>
      <c r="H37">
        <v>160.44891999999999</v>
      </c>
      <c r="I37" s="1" t="str">
        <f t="shared" si="3"/>
        <v>117,04125 50,416849</v>
      </c>
      <c r="J37" t="s">
        <v>62</v>
      </c>
    </row>
    <row r="38" spans="1:10" ht="15.75">
      <c r="A38">
        <v>5</v>
      </c>
      <c r="B38" t="s">
        <v>28</v>
      </c>
      <c r="C38" t="s">
        <v>11</v>
      </c>
      <c r="D38">
        <v>4</v>
      </c>
      <c r="E38">
        <v>37.880499999999998</v>
      </c>
      <c r="F38">
        <v>19.144649999999999</v>
      </c>
      <c r="G38">
        <v>9.5723240000000001</v>
      </c>
      <c r="H38">
        <v>30.46341</v>
      </c>
      <c r="I38" s="1" t="str">
        <f t="shared" si="3"/>
        <v>37,8805 9,572324</v>
      </c>
      <c r="J38" t="s">
        <v>63</v>
      </c>
    </row>
    <row r="39" spans="1:10" ht="15.75">
      <c r="A39">
        <v>6</v>
      </c>
      <c r="B39" t="s">
        <v>28</v>
      </c>
      <c r="C39" t="s">
        <v>19</v>
      </c>
      <c r="D39">
        <v>4</v>
      </c>
      <c r="E39">
        <v>49.4895</v>
      </c>
      <c r="F39">
        <v>56.737020000000001</v>
      </c>
      <c r="G39">
        <v>28.368510000000001</v>
      </c>
      <c r="H39">
        <v>90.281260000000003</v>
      </c>
      <c r="I39" s="1" t="str">
        <f t="shared" si="3"/>
        <v>49,4895 28,36851</v>
      </c>
      <c r="J39" t="s">
        <v>64</v>
      </c>
    </row>
    <row r="40" spans="1:10" ht="15.75">
      <c r="A40">
        <v>7</v>
      </c>
      <c r="B40" t="s">
        <v>28</v>
      </c>
      <c r="C40" t="s">
        <v>22</v>
      </c>
      <c r="D40">
        <v>4</v>
      </c>
      <c r="E40">
        <v>38.590499999999999</v>
      </c>
      <c r="F40">
        <v>20.884070000000001</v>
      </c>
      <c r="G40">
        <v>10.442036</v>
      </c>
      <c r="H40">
        <v>33.23122</v>
      </c>
      <c r="I40" s="1" t="str">
        <f t="shared" si="3"/>
        <v>38,5905 10,442036</v>
      </c>
      <c r="J40" t="s">
        <v>65</v>
      </c>
    </row>
    <row r="41" spans="1:10" ht="15.75">
      <c r="A41">
        <v>8</v>
      </c>
      <c r="B41" t="s">
        <v>28</v>
      </c>
      <c r="C41" t="s">
        <v>25</v>
      </c>
      <c r="D41">
        <v>4</v>
      </c>
      <c r="E41">
        <v>26.34</v>
      </c>
      <c r="F41">
        <v>10.01994</v>
      </c>
      <c r="G41">
        <v>5.0099710000000002</v>
      </c>
      <c r="H41">
        <v>15.943960000000001</v>
      </c>
      <c r="I41" s="1" t="str">
        <f t="shared" si="3"/>
        <v>26,34 5,009971</v>
      </c>
      <c r="J41" t="s">
        <v>66</v>
      </c>
    </row>
    <row r="43" spans="1:10">
      <c r="A43" t="s">
        <v>0</v>
      </c>
      <c r="B43" t="s">
        <v>1</v>
      </c>
      <c r="C43" t="s">
        <v>2</v>
      </c>
      <c r="D43" t="s">
        <v>67</v>
      </c>
      <c r="E43" s="14" t="s">
        <v>68</v>
      </c>
      <c r="F43" t="s">
        <v>5</v>
      </c>
      <c r="G43" t="s">
        <v>6</v>
      </c>
      <c r="H43" t="s">
        <v>7</v>
      </c>
    </row>
    <row r="44" spans="1:10" ht="15.75">
      <c r="A44">
        <v>1</v>
      </c>
      <c r="B44" t="s">
        <v>10</v>
      </c>
      <c r="C44" t="s">
        <v>11</v>
      </c>
      <c r="D44">
        <v>4</v>
      </c>
      <c r="E44">
        <v>1.3754999999999999</v>
      </c>
      <c r="F44">
        <v>0.9758038</v>
      </c>
      <c r="G44">
        <v>0.4879019</v>
      </c>
      <c r="H44">
        <v>1.5527215999999999</v>
      </c>
      <c r="I44" s="1" t="str">
        <f>E44&amp;" "&amp;G44</f>
        <v>1,3755 0,4879019</v>
      </c>
      <c r="J44" t="s">
        <v>69</v>
      </c>
    </row>
    <row r="45" spans="1:10" ht="15.75">
      <c r="A45">
        <v>2</v>
      </c>
      <c r="B45" t="s">
        <v>10</v>
      </c>
      <c r="C45" t="s">
        <v>19</v>
      </c>
      <c r="D45">
        <v>4</v>
      </c>
      <c r="E45">
        <v>1.67475</v>
      </c>
      <c r="F45">
        <v>0.4031206</v>
      </c>
      <c r="G45">
        <v>0.2015603</v>
      </c>
      <c r="H45">
        <v>0.64145490000000005</v>
      </c>
      <c r="I45" s="1" t="str">
        <f t="shared" ref="I45:I51" si="4">E45&amp;" "&amp;G45</f>
        <v>1,67475 0,2015603</v>
      </c>
      <c r="J45" t="s">
        <v>70</v>
      </c>
    </row>
    <row r="46" spans="1:10" ht="15.75">
      <c r="A46">
        <v>3</v>
      </c>
      <c r="B46" t="s">
        <v>10</v>
      </c>
      <c r="C46" t="s">
        <v>22</v>
      </c>
      <c r="D46">
        <v>4</v>
      </c>
      <c r="E46">
        <v>2.0837500000000002</v>
      </c>
      <c r="F46">
        <v>1.8107797999999999</v>
      </c>
      <c r="G46">
        <v>0.90538989999999997</v>
      </c>
      <c r="H46">
        <v>2.8813548</v>
      </c>
      <c r="I46" s="1" t="str">
        <f t="shared" si="4"/>
        <v>2,08375 0,9053899</v>
      </c>
      <c r="J46" t="s">
        <v>71</v>
      </c>
    </row>
    <row r="47" spans="1:10" ht="15.75">
      <c r="A47">
        <v>4</v>
      </c>
      <c r="B47" t="s">
        <v>10</v>
      </c>
      <c r="C47" t="s">
        <v>25</v>
      </c>
      <c r="D47">
        <v>4</v>
      </c>
      <c r="E47">
        <v>3.09375</v>
      </c>
      <c r="F47">
        <v>2.2976717999999998</v>
      </c>
      <c r="G47">
        <v>1.1488358999999999</v>
      </c>
      <c r="H47">
        <v>3.6561085000000002</v>
      </c>
      <c r="I47" s="1" t="str">
        <f t="shared" si="4"/>
        <v>3,09375 1,1488359</v>
      </c>
      <c r="J47" t="s">
        <v>72</v>
      </c>
    </row>
    <row r="48" spans="1:10" ht="15.75">
      <c r="A48">
        <v>5</v>
      </c>
      <c r="B48" t="s">
        <v>28</v>
      </c>
      <c r="C48" t="s">
        <v>11</v>
      </c>
      <c r="D48">
        <v>4</v>
      </c>
      <c r="E48">
        <v>1.6152500000000001</v>
      </c>
      <c r="F48">
        <v>0.64533419999999997</v>
      </c>
      <c r="G48">
        <v>0.32266709999999998</v>
      </c>
      <c r="H48">
        <v>1.0268706999999999</v>
      </c>
      <c r="I48" s="1" t="str">
        <f t="shared" si="4"/>
        <v>1,61525 0,3226671</v>
      </c>
      <c r="J48" t="s">
        <v>73</v>
      </c>
    </row>
    <row r="49" spans="1:10" ht="15.75">
      <c r="A49">
        <v>6</v>
      </c>
      <c r="B49" t="s">
        <v>28</v>
      </c>
      <c r="C49" t="s">
        <v>19</v>
      </c>
      <c r="D49">
        <v>4</v>
      </c>
      <c r="E49">
        <v>2.0425</v>
      </c>
      <c r="F49">
        <v>1.6622463999999999</v>
      </c>
      <c r="G49">
        <v>0.83112319999999995</v>
      </c>
      <c r="H49">
        <v>2.6450049</v>
      </c>
      <c r="I49" s="1" t="str">
        <f t="shared" si="4"/>
        <v>2,0425 0,8311232</v>
      </c>
      <c r="J49" t="s">
        <v>74</v>
      </c>
    </row>
    <row r="50" spans="1:10" ht="15.75">
      <c r="A50">
        <v>7</v>
      </c>
      <c r="B50" t="s">
        <v>28</v>
      </c>
      <c r="C50" t="s">
        <v>22</v>
      </c>
      <c r="D50">
        <v>4</v>
      </c>
      <c r="E50">
        <v>1.8434999999999999</v>
      </c>
      <c r="F50">
        <v>0.67103330000000005</v>
      </c>
      <c r="G50">
        <v>0.3355166</v>
      </c>
      <c r="H50">
        <v>1.0677637</v>
      </c>
      <c r="I50" s="1" t="str">
        <f t="shared" si="4"/>
        <v>1,8435 0,3355166</v>
      </c>
      <c r="J50" t="s">
        <v>75</v>
      </c>
    </row>
    <row r="51" spans="1:10" ht="15.75">
      <c r="A51">
        <v>8</v>
      </c>
      <c r="B51" t="s">
        <v>28</v>
      </c>
      <c r="C51" t="s">
        <v>25</v>
      </c>
      <c r="D51">
        <v>4</v>
      </c>
      <c r="E51">
        <v>1.16825</v>
      </c>
      <c r="F51">
        <v>0.36996879999999999</v>
      </c>
      <c r="G51">
        <v>0.18498439999999999</v>
      </c>
      <c r="H51">
        <v>0.58870290000000003</v>
      </c>
      <c r="I51" s="1" t="str">
        <f t="shared" si="4"/>
        <v>1,16825 0,1849844</v>
      </c>
      <c r="J51" t="s">
        <v>76</v>
      </c>
    </row>
    <row r="54" spans="1:10">
      <c r="A54" t="s">
        <v>35</v>
      </c>
      <c r="B54" t="s">
        <v>36</v>
      </c>
      <c r="C54" t="s">
        <v>37</v>
      </c>
      <c r="D54" t="s">
        <v>38</v>
      </c>
      <c r="E54" s="14" t="s">
        <v>77</v>
      </c>
      <c r="F54" t="s">
        <v>5</v>
      </c>
      <c r="G54" t="s">
        <v>6</v>
      </c>
      <c r="H54" t="s">
        <v>7</v>
      </c>
    </row>
    <row r="55" spans="1:10" ht="15.75">
      <c r="A55">
        <v>1</v>
      </c>
      <c r="B55" t="s">
        <v>10</v>
      </c>
      <c r="C55" t="s">
        <v>11</v>
      </c>
      <c r="D55">
        <v>4</v>
      </c>
      <c r="E55">
        <v>0</v>
      </c>
      <c r="F55">
        <v>0</v>
      </c>
      <c r="G55">
        <v>0</v>
      </c>
      <c r="H55">
        <v>0</v>
      </c>
      <c r="I55" s="1" t="str">
        <f>E55&amp;" "&amp;G55</f>
        <v>0 0</v>
      </c>
      <c r="J55" t="s">
        <v>78</v>
      </c>
    </row>
    <row r="56" spans="1:10" ht="15.75">
      <c r="A56">
        <v>2</v>
      </c>
      <c r="B56" t="s">
        <v>10</v>
      </c>
      <c r="C56" t="s">
        <v>19</v>
      </c>
      <c r="D56">
        <v>4</v>
      </c>
      <c r="E56">
        <v>0</v>
      </c>
      <c r="F56">
        <v>0</v>
      </c>
      <c r="G56">
        <v>0</v>
      </c>
      <c r="H56">
        <v>0</v>
      </c>
      <c r="I56" s="1" t="str">
        <f t="shared" ref="I56:I62" si="5">E56&amp;" "&amp;G56</f>
        <v>0 0</v>
      </c>
      <c r="J56" t="s">
        <v>78</v>
      </c>
    </row>
    <row r="57" spans="1:10" ht="15.75">
      <c r="A57">
        <v>3</v>
      </c>
      <c r="B57" t="s">
        <v>10</v>
      </c>
      <c r="C57" t="s">
        <v>22</v>
      </c>
      <c r="D57">
        <v>4</v>
      </c>
      <c r="E57">
        <v>0</v>
      </c>
      <c r="F57">
        <v>0</v>
      </c>
      <c r="G57">
        <v>0</v>
      </c>
      <c r="H57">
        <v>0</v>
      </c>
      <c r="I57" s="1" t="str">
        <f t="shared" si="5"/>
        <v>0 0</v>
      </c>
      <c r="J57" t="s">
        <v>78</v>
      </c>
    </row>
    <row r="58" spans="1:10" ht="15.75">
      <c r="A58">
        <v>4</v>
      </c>
      <c r="B58" t="s">
        <v>10</v>
      </c>
      <c r="C58" t="s">
        <v>25</v>
      </c>
      <c r="D58">
        <v>4</v>
      </c>
      <c r="E58">
        <v>0</v>
      </c>
      <c r="F58">
        <v>0</v>
      </c>
      <c r="G58">
        <v>0</v>
      </c>
      <c r="H58">
        <v>0</v>
      </c>
      <c r="I58" s="1" t="str">
        <f t="shared" si="5"/>
        <v>0 0</v>
      </c>
      <c r="J58" t="s">
        <v>78</v>
      </c>
    </row>
    <row r="59" spans="1:10" ht="15.75">
      <c r="A59">
        <v>5</v>
      </c>
      <c r="B59" t="s">
        <v>28</v>
      </c>
      <c r="C59" t="s">
        <v>11</v>
      </c>
      <c r="D59">
        <v>4</v>
      </c>
      <c r="E59">
        <v>4.5667499999999999</v>
      </c>
      <c r="F59">
        <v>1.0065211999999999</v>
      </c>
      <c r="G59">
        <v>0.50326059999999995</v>
      </c>
      <c r="H59">
        <v>1.6015998</v>
      </c>
      <c r="I59" s="1" t="str">
        <f t="shared" si="5"/>
        <v>4,56675 0,5032606</v>
      </c>
      <c r="J59" t="s">
        <v>79</v>
      </c>
    </row>
    <row r="60" spans="1:10" ht="15.75">
      <c r="A60">
        <v>6</v>
      </c>
      <c r="B60" t="s">
        <v>28</v>
      </c>
      <c r="C60" t="s">
        <v>19</v>
      </c>
      <c r="D60">
        <v>4</v>
      </c>
      <c r="E60">
        <v>5.5287499999999996</v>
      </c>
      <c r="F60">
        <v>2.4645011999999999</v>
      </c>
      <c r="G60">
        <v>1.2322506</v>
      </c>
      <c r="H60">
        <v>3.9215713999999999</v>
      </c>
      <c r="I60" s="1" t="str">
        <f t="shared" si="5"/>
        <v>5,52875 1,2322506</v>
      </c>
      <c r="J60" t="s">
        <v>80</v>
      </c>
    </row>
    <row r="61" spans="1:10" ht="15.75">
      <c r="A61">
        <v>7</v>
      </c>
      <c r="B61" t="s">
        <v>28</v>
      </c>
      <c r="C61" t="s">
        <v>22</v>
      </c>
      <c r="D61">
        <v>4</v>
      </c>
      <c r="E61">
        <v>5.1559999999999997</v>
      </c>
      <c r="F61">
        <v>1.4119292000000001</v>
      </c>
      <c r="G61">
        <v>0.70596460000000005</v>
      </c>
      <c r="H61">
        <v>2.2466944</v>
      </c>
      <c r="I61" s="1" t="str">
        <f t="shared" si="5"/>
        <v>5,156 0,7059646</v>
      </c>
      <c r="J61" t="s">
        <v>81</v>
      </c>
    </row>
    <row r="62" spans="1:10" ht="15.75">
      <c r="A62">
        <v>8</v>
      </c>
      <c r="B62" t="s">
        <v>28</v>
      </c>
      <c r="C62" t="s">
        <v>25</v>
      </c>
      <c r="D62">
        <v>4</v>
      </c>
      <c r="E62">
        <v>4.3177500000000002</v>
      </c>
      <c r="F62">
        <v>0.24544160000000001</v>
      </c>
      <c r="G62">
        <v>0.1227208</v>
      </c>
      <c r="H62">
        <v>0.39055240000000002</v>
      </c>
      <c r="I62" s="1" t="str">
        <f t="shared" si="5"/>
        <v>4,31775 0,1227208</v>
      </c>
      <c r="J62" t="s">
        <v>82</v>
      </c>
    </row>
    <row r="64" spans="1:10">
      <c r="A64" t="s">
        <v>34</v>
      </c>
    </row>
    <row r="66" spans="1:10">
      <c r="A66" t="s">
        <v>35</v>
      </c>
      <c r="B66" t="s">
        <v>36</v>
      </c>
      <c r="C66" t="s">
        <v>37</v>
      </c>
      <c r="D66" t="s">
        <v>83</v>
      </c>
      <c r="E66" s="14" t="s">
        <v>84</v>
      </c>
      <c r="F66" t="s">
        <v>5</v>
      </c>
      <c r="G66" t="s">
        <v>6</v>
      </c>
      <c r="H66" t="s">
        <v>7</v>
      </c>
    </row>
    <row r="67" spans="1:10" ht="15.75">
      <c r="A67">
        <v>1</v>
      </c>
      <c r="B67" t="s">
        <v>10</v>
      </c>
      <c r="C67" t="s">
        <v>11</v>
      </c>
      <c r="D67">
        <v>4</v>
      </c>
      <c r="E67">
        <v>2.12975</v>
      </c>
      <c r="F67">
        <v>0.90096109999999996</v>
      </c>
      <c r="G67">
        <v>0.45048060000000001</v>
      </c>
      <c r="H67">
        <v>1.4336302000000001</v>
      </c>
      <c r="I67" s="1" t="str">
        <f>E67&amp;" "&amp;G67</f>
        <v>2,12975 0,4504806</v>
      </c>
      <c r="J67" t="s">
        <v>85</v>
      </c>
    </row>
    <row r="68" spans="1:10" ht="15.75">
      <c r="A68">
        <v>2</v>
      </c>
      <c r="B68" t="s">
        <v>10</v>
      </c>
      <c r="C68" t="s">
        <v>19</v>
      </c>
      <c r="D68">
        <v>4</v>
      </c>
      <c r="E68">
        <v>3.278</v>
      </c>
      <c r="F68">
        <v>0.8957965</v>
      </c>
      <c r="G68">
        <v>0.44789820000000002</v>
      </c>
      <c r="H68">
        <v>1.4254121</v>
      </c>
      <c r="I68" s="1" t="str">
        <f t="shared" ref="I68:I74" si="6">E68&amp;" "&amp;G68</f>
        <v>3,278 0,4478982</v>
      </c>
      <c r="J68" t="s">
        <v>86</v>
      </c>
    </row>
    <row r="69" spans="1:10" ht="15.75">
      <c r="A69">
        <v>3</v>
      </c>
      <c r="B69" t="s">
        <v>10</v>
      </c>
      <c r="C69" t="s">
        <v>22</v>
      </c>
      <c r="D69">
        <v>4</v>
      </c>
      <c r="E69">
        <v>3</v>
      </c>
      <c r="F69">
        <v>1.2189014</v>
      </c>
      <c r="G69">
        <v>0.60945070000000001</v>
      </c>
      <c r="H69">
        <v>1.9395442000000001</v>
      </c>
      <c r="I69" s="1" t="str">
        <f t="shared" si="6"/>
        <v>3 0,6094507</v>
      </c>
      <c r="J69" t="s">
        <v>87</v>
      </c>
    </row>
    <row r="70" spans="1:10" ht="15.75">
      <c r="A70">
        <v>4</v>
      </c>
      <c r="B70" t="s">
        <v>10</v>
      </c>
      <c r="C70" t="s">
        <v>25</v>
      </c>
      <c r="D70">
        <v>4</v>
      </c>
      <c r="E70">
        <v>4.8142500000000004</v>
      </c>
      <c r="F70">
        <v>3.6536616</v>
      </c>
      <c r="G70">
        <v>1.8268308</v>
      </c>
      <c r="H70">
        <v>5.8137908999999999</v>
      </c>
      <c r="I70" s="1" t="str">
        <f t="shared" si="6"/>
        <v>4,81425 1,8268308</v>
      </c>
      <c r="J70" t="s">
        <v>88</v>
      </c>
    </row>
    <row r="71" spans="1:10" ht="15.75">
      <c r="A71">
        <v>5</v>
      </c>
      <c r="B71" t="s">
        <v>28</v>
      </c>
      <c r="C71" t="s">
        <v>11</v>
      </c>
      <c r="D71">
        <v>4</v>
      </c>
      <c r="E71">
        <v>0.99275000000000002</v>
      </c>
      <c r="F71">
        <v>0.41765249999999998</v>
      </c>
      <c r="G71">
        <v>0.20882619999999999</v>
      </c>
      <c r="H71">
        <v>0.66457829999999996</v>
      </c>
      <c r="I71" s="1" t="str">
        <f t="shared" si="6"/>
        <v>0,99275 0,2088262</v>
      </c>
      <c r="J71" t="s">
        <v>89</v>
      </c>
    </row>
    <row r="72" spans="1:10" ht="15.75">
      <c r="A72">
        <v>6</v>
      </c>
      <c r="B72" t="s">
        <v>28</v>
      </c>
      <c r="C72" t="s">
        <v>19</v>
      </c>
      <c r="D72">
        <v>4</v>
      </c>
      <c r="E72">
        <v>1.3660000000000001</v>
      </c>
      <c r="F72">
        <v>0.68348759999999997</v>
      </c>
      <c r="G72">
        <v>0.34174379999999999</v>
      </c>
      <c r="H72">
        <v>1.0875813000000001</v>
      </c>
      <c r="I72" s="1" t="str">
        <f t="shared" si="6"/>
        <v>1,366 0,3417438</v>
      </c>
      <c r="J72" t="s">
        <v>90</v>
      </c>
    </row>
    <row r="73" spans="1:10" ht="15.75">
      <c r="A73">
        <v>7</v>
      </c>
      <c r="B73" t="s">
        <v>28</v>
      </c>
      <c r="C73" t="s">
        <v>22</v>
      </c>
      <c r="D73">
        <v>4</v>
      </c>
      <c r="E73">
        <v>1.1975</v>
      </c>
      <c r="F73">
        <v>0.48015999999999998</v>
      </c>
      <c r="G73">
        <v>0.24007999999999999</v>
      </c>
      <c r="H73">
        <v>0.76404179999999999</v>
      </c>
      <c r="I73" s="1" t="str">
        <f t="shared" si="6"/>
        <v>1,1975 0,24008</v>
      </c>
      <c r="J73" t="s">
        <v>91</v>
      </c>
    </row>
    <row r="74" spans="1:10" ht="15.75">
      <c r="A74">
        <v>8</v>
      </c>
      <c r="B74" t="s">
        <v>28</v>
      </c>
      <c r="C74" t="s">
        <v>25</v>
      </c>
      <c r="D74">
        <v>4</v>
      </c>
      <c r="E74">
        <v>1.276</v>
      </c>
      <c r="F74">
        <v>0.39098929999999998</v>
      </c>
      <c r="G74">
        <v>0.19549469999999999</v>
      </c>
      <c r="H74">
        <v>0.62215129999999996</v>
      </c>
      <c r="I74" s="1" t="str">
        <f t="shared" si="6"/>
        <v>1,276 0,1954947</v>
      </c>
      <c r="J74" t="s">
        <v>92</v>
      </c>
    </row>
    <row r="76" spans="1:10">
      <c r="A76" t="s">
        <v>35</v>
      </c>
      <c r="B76" t="s">
        <v>36</v>
      </c>
      <c r="C76" t="s">
        <v>37</v>
      </c>
      <c r="D76" t="s">
        <v>93</v>
      </c>
      <c r="E76" s="14" t="s">
        <v>94</v>
      </c>
      <c r="F76" t="s">
        <v>5</v>
      </c>
      <c r="G76" t="s">
        <v>6</v>
      </c>
      <c r="H76" t="s">
        <v>7</v>
      </c>
    </row>
    <row r="77" spans="1:10" ht="15.75">
      <c r="A77">
        <v>1</v>
      </c>
      <c r="B77" t="s">
        <v>10</v>
      </c>
      <c r="C77" t="s">
        <v>11</v>
      </c>
      <c r="D77">
        <v>4</v>
      </c>
      <c r="E77">
        <v>0.36149999999999999</v>
      </c>
      <c r="F77">
        <v>6.8743479999999996E-2</v>
      </c>
      <c r="G77">
        <v>3.4371739999999998E-2</v>
      </c>
      <c r="H77">
        <v>0.10938622000000001</v>
      </c>
      <c r="I77" s="1" t="str">
        <f>E77&amp;" "&amp;G77</f>
        <v>0,3615 0,03437174</v>
      </c>
      <c r="J77" t="s">
        <v>95</v>
      </c>
    </row>
    <row r="78" spans="1:10" ht="15.75">
      <c r="A78">
        <v>2</v>
      </c>
      <c r="B78" t="s">
        <v>10</v>
      </c>
      <c r="C78" t="s">
        <v>19</v>
      </c>
      <c r="D78">
        <v>4</v>
      </c>
      <c r="E78">
        <v>0.50600000000000001</v>
      </c>
      <c r="F78">
        <v>9.6719529999999998E-2</v>
      </c>
      <c r="G78">
        <v>4.8359760000000002E-2</v>
      </c>
      <c r="H78">
        <v>0.15390234999999999</v>
      </c>
      <c r="I78" s="1" t="str">
        <f t="shared" ref="I78:I84" si="7">E78&amp;" "&amp;G78</f>
        <v>0,506 0,04835976</v>
      </c>
      <c r="J78" t="s">
        <v>96</v>
      </c>
    </row>
    <row r="79" spans="1:10" ht="15.75">
      <c r="A79">
        <v>3</v>
      </c>
      <c r="B79" t="s">
        <v>10</v>
      </c>
      <c r="C79" t="s">
        <v>22</v>
      </c>
      <c r="D79">
        <v>4</v>
      </c>
      <c r="E79">
        <v>0.53925000000000001</v>
      </c>
      <c r="F79">
        <v>0.24854560000000001</v>
      </c>
      <c r="G79">
        <v>0.1242728</v>
      </c>
      <c r="H79">
        <v>0.39549151999999999</v>
      </c>
      <c r="I79" s="1" t="str">
        <f t="shared" si="7"/>
        <v>0,53925 0,1242728</v>
      </c>
      <c r="J79" t="s">
        <v>97</v>
      </c>
    </row>
    <row r="80" spans="1:10" ht="15.75">
      <c r="A80">
        <v>4</v>
      </c>
      <c r="B80" t="s">
        <v>10</v>
      </c>
      <c r="C80" t="s">
        <v>25</v>
      </c>
      <c r="D80">
        <v>4</v>
      </c>
      <c r="E80">
        <v>0.89375000000000004</v>
      </c>
      <c r="F80">
        <v>0.61786695999999997</v>
      </c>
      <c r="G80">
        <v>0.30893347999999998</v>
      </c>
      <c r="H80">
        <v>0.98316422000000003</v>
      </c>
      <c r="I80" s="1" t="str">
        <f t="shared" si="7"/>
        <v>0,89375 0,30893348</v>
      </c>
      <c r="J80" t="s">
        <v>98</v>
      </c>
    </row>
    <row r="81" spans="1:10" ht="15.75">
      <c r="A81">
        <v>5</v>
      </c>
      <c r="B81" t="s">
        <v>28</v>
      </c>
      <c r="C81" t="s">
        <v>11</v>
      </c>
      <c r="D81">
        <v>4</v>
      </c>
      <c r="E81">
        <v>0.25324999999999998</v>
      </c>
      <c r="F81">
        <v>3.4855650000000002E-2</v>
      </c>
      <c r="G81">
        <v>1.7427829999999998E-2</v>
      </c>
      <c r="H81">
        <v>5.5463119999999998E-2</v>
      </c>
      <c r="I81" s="1" t="str">
        <f t="shared" si="7"/>
        <v>0,25325 0,01742783</v>
      </c>
      <c r="J81" t="s">
        <v>99</v>
      </c>
    </row>
    <row r="82" spans="1:10" ht="15.75">
      <c r="A82">
        <v>6</v>
      </c>
      <c r="B82" t="s">
        <v>28</v>
      </c>
      <c r="C82" t="s">
        <v>19</v>
      </c>
      <c r="D82">
        <v>4</v>
      </c>
      <c r="E82">
        <v>0.30925000000000002</v>
      </c>
      <c r="F82">
        <v>8.6376599999999998E-2</v>
      </c>
      <c r="G82">
        <v>4.3188299999999999E-2</v>
      </c>
      <c r="H82">
        <v>0.13744444</v>
      </c>
      <c r="I82" s="1" t="str">
        <f t="shared" si="7"/>
        <v>0,30925 0,0431883</v>
      </c>
      <c r="J82" t="s">
        <v>100</v>
      </c>
    </row>
    <row r="83" spans="1:10" ht="15.75">
      <c r="A83">
        <v>7</v>
      </c>
      <c r="B83" t="s">
        <v>28</v>
      </c>
      <c r="C83" t="s">
        <v>22</v>
      </c>
      <c r="D83">
        <v>4</v>
      </c>
      <c r="E83">
        <v>0.3135</v>
      </c>
      <c r="F83">
        <v>0.10445573</v>
      </c>
      <c r="G83">
        <v>5.2227870000000003E-2</v>
      </c>
      <c r="H83">
        <v>0.16621237999999999</v>
      </c>
      <c r="I83" s="1" t="str">
        <f t="shared" si="7"/>
        <v>0,3135 0,05222787</v>
      </c>
      <c r="J83" t="s">
        <v>101</v>
      </c>
    </row>
    <row r="84" spans="1:10" ht="15.75">
      <c r="A84">
        <v>8</v>
      </c>
      <c r="B84" t="s">
        <v>28</v>
      </c>
      <c r="C84" t="s">
        <v>25</v>
      </c>
      <c r="D84">
        <v>4</v>
      </c>
      <c r="E84">
        <v>0.24124999999999999</v>
      </c>
      <c r="F84">
        <v>4.4379990000000001E-2</v>
      </c>
      <c r="G84">
        <v>2.218999E-2</v>
      </c>
      <c r="H84">
        <v>7.0618459999999994E-2</v>
      </c>
      <c r="I84" s="1" t="str">
        <f t="shared" si="7"/>
        <v>0,24125 0,02218999</v>
      </c>
      <c r="J84" t="s">
        <v>102</v>
      </c>
    </row>
    <row r="86" spans="1:10">
      <c r="A86" t="s">
        <v>35</v>
      </c>
      <c r="B86" t="s">
        <v>36</v>
      </c>
      <c r="C86" t="s">
        <v>37</v>
      </c>
      <c r="D86" t="s">
        <v>103</v>
      </c>
      <c r="E86" s="14" t="s">
        <v>104</v>
      </c>
      <c r="F86" t="s">
        <v>5</v>
      </c>
      <c r="G86" t="s">
        <v>6</v>
      </c>
      <c r="H86" t="s">
        <v>7</v>
      </c>
    </row>
    <row r="87" spans="1:10" ht="15.75">
      <c r="A87">
        <v>1</v>
      </c>
      <c r="B87" t="s">
        <v>10</v>
      </c>
      <c r="C87" t="s">
        <v>11</v>
      </c>
      <c r="D87">
        <v>4</v>
      </c>
      <c r="E87">
        <v>2.1560000000000001</v>
      </c>
      <c r="F87">
        <v>1.0111604000000001</v>
      </c>
      <c r="G87">
        <v>0.50558020000000004</v>
      </c>
      <c r="H87">
        <v>1.6089818</v>
      </c>
      <c r="I87" s="1" t="str">
        <f>E87&amp;" "&amp;G87</f>
        <v>2,156 0,5055802</v>
      </c>
      <c r="J87" t="s">
        <v>105</v>
      </c>
    </row>
    <row r="88" spans="1:10" ht="15.75">
      <c r="A88">
        <v>2</v>
      </c>
      <c r="B88" t="s">
        <v>10</v>
      </c>
      <c r="C88" t="s">
        <v>19</v>
      </c>
      <c r="D88">
        <v>4</v>
      </c>
      <c r="E88">
        <v>3.6124999999999998</v>
      </c>
      <c r="F88">
        <v>1.201522</v>
      </c>
      <c r="G88">
        <v>0.60076099999999999</v>
      </c>
      <c r="H88">
        <v>1.9118895</v>
      </c>
      <c r="I88" s="1" t="str">
        <f t="shared" ref="I88:I94" si="8">E88&amp;" "&amp;G88</f>
        <v>3,6125 0,600761</v>
      </c>
      <c r="J88" t="s">
        <v>106</v>
      </c>
    </row>
    <row r="89" spans="1:10" ht="15.75">
      <c r="A89">
        <v>3</v>
      </c>
      <c r="B89" t="s">
        <v>10</v>
      </c>
      <c r="C89" t="s">
        <v>22</v>
      </c>
      <c r="D89">
        <v>4</v>
      </c>
      <c r="E89">
        <v>3.0659999999999998</v>
      </c>
      <c r="F89">
        <v>1.6550867</v>
      </c>
      <c r="G89">
        <v>0.82754340000000004</v>
      </c>
      <c r="H89">
        <v>2.6336122999999998</v>
      </c>
      <c r="I89" s="1" t="str">
        <f t="shared" si="8"/>
        <v>3,066 0,8275434</v>
      </c>
      <c r="J89" t="s">
        <v>107</v>
      </c>
    </row>
    <row r="90" spans="1:10" ht="15.75">
      <c r="A90">
        <v>4</v>
      </c>
      <c r="B90" t="s">
        <v>10</v>
      </c>
      <c r="C90" t="s">
        <v>25</v>
      </c>
      <c r="D90">
        <v>4</v>
      </c>
      <c r="E90">
        <v>5.9552500000000004</v>
      </c>
      <c r="F90">
        <v>5.3968113999999998</v>
      </c>
      <c r="G90">
        <v>2.6984056999999999</v>
      </c>
      <c r="H90">
        <v>8.5875312000000008</v>
      </c>
      <c r="I90" s="1" t="str">
        <f t="shared" si="8"/>
        <v>5,95525 2,6984057</v>
      </c>
      <c r="J90" t="s">
        <v>108</v>
      </c>
    </row>
    <row r="91" spans="1:10" ht="15.75">
      <c r="A91">
        <v>5</v>
      </c>
      <c r="B91" t="s">
        <v>28</v>
      </c>
      <c r="C91" t="s">
        <v>11</v>
      </c>
      <c r="D91">
        <v>4</v>
      </c>
      <c r="E91">
        <v>1.2052499999999999</v>
      </c>
      <c r="F91">
        <v>0.35997810000000002</v>
      </c>
      <c r="G91">
        <v>0.17998910000000001</v>
      </c>
      <c r="H91">
        <v>0.57280549999999997</v>
      </c>
      <c r="I91" s="1" t="str">
        <f t="shared" si="8"/>
        <v>1,20525 0,1799891</v>
      </c>
      <c r="J91" t="s">
        <v>109</v>
      </c>
    </row>
    <row r="92" spans="1:10" ht="15.75">
      <c r="A92">
        <v>6</v>
      </c>
      <c r="B92" t="s">
        <v>28</v>
      </c>
      <c r="C92" t="s">
        <v>19</v>
      </c>
      <c r="D92">
        <v>4</v>
      </c>
      <c r="E92">
        <v>1.454</v>
      </c>
      <c r="F92">
        <v>0.84674470000000002</v>
      </c>
      <c r="G92">
        <v>0.42337239999999998</v>
      </c>
      <c r="H92">
        <v>1.3473598</v>
      </c>
      <c r="I92" s="1" t="str">
        <f t="shared" si="8"/>
        <v>1,454 0,4233724</v>
      </c>
      <c r="J92" t="s">
        <v>110</v>
      </c>
    </row>
    <row r="93" spans="1:10" ht="15.75">
      <c r="A93">
        <v>7</v>
      </c>
      <c r="B93" t="s">
        <v>28</v>
      </c>
      <c r="C93" t="s">
        <v>22</v>
      </c>
      <c r="D93">
        <v>4</v>
      </c>
      <c r="E93">
        <v>1.29775</v>
      </c>
      <c r="F93">
        <v>0.53882669999999999</v>
      </c>
      <c r="G93">
        <v>0.26941340000000003</v>
      </c>
      <c r="H93">
        <v>0.85739359999999998</v>
      </c>
      <c r="I93" s="1" t="str">
        <f t="shared" si="8"/>
        <v>1,29775 0,2694134</v>
      </c>
      <c r="J93" t="s">
        <v>111</v>
      </c>
    </row>
    <row r="94" spans="1:10" ht="15.75">
      <c r="A94">
        <v>8</v>
      </c>
      <c r="B94" t="s">
        <v>28</v>
      </c>
      <c r="C94" t="s">
        <v>25</v>
      </c>
      <c r="D94">
        <v>4</v>
      </c>
      <c r="E94">
        <v>1.21225</v>
      </c>
      <c r="F94">
        <v>0.27990039999999999</v>
      </c>
      <c r="G94">
        <v>0.1399502</v>
      </c>
      <c r="H94">
        <v>0.445384</v>
      </c>
      <c r="I94" s="1" t="str">
        <f t="shared" si="8"/>
        <v>1,21225 0,1399502</v>
      </c>
      <c r="J94" t="s">
        <v>112</v>
      </c>
    </row>
    <row r="96" spans="1:10">
      <c r="A96" t="s">
        <v>0</v>
      </c>
      <c r="B96" t="s">
        <v>1</v>
      </c>
      <c r="C96" t="s">
        <v>2</v>
      </c>
      <c r="D96" t="s">
        <v>113</v>
      </c>
      <c r="E96" s="14" t="s">
        <v>114</v>
      </c>
      <c r="F96" t="s">
        <v>5</v>
      </c>
      <c r="G96" t="s">
        <v>6</v>
      </c>
      <c r="H96" t="s">
        <v>7</v>
      </c>
    </row>
    <row r="97" spans="1:10" ht="15.75">
      <c r="A97">
        <v>1</v>
      </c>
      <c r="B97" t="s">
        <v>10</v>
      </c>
      <c r="C97" t="s">
        <v>11</v>
      </c>
      <c r="D97">
        <v>4</v>
      </c>
      <c r="E97">
        <v>0</v>
      </c>
      <c r="F97">
        <v>0</v>
      </c>
      <c r="G97">
        <v>0</v>
      </c>
      <c r="H97">
        <v>0</v>
      </c>
      <c r="I97" s="1" t="str">
        <f>E97&amp;" "&amp;G97</f>
        <v>0 0</v>
      </c>
      <c r="J97" t="s">
        <v>78</v>
      </c>
    </row>
    <row r="98" spans="1:10" ht="15.75">
      <c r="A98">
        <v>2</v>
      </c>
      <c r="B98" t="s">
        <v>10</v>
      </c>
      <c r="C98" t="s">
        <v>19</v>
      </c>
      <c r="D98">
        <v>4</v>
      </c>
      <c r="E98">
        <v>0</v>
      </c>
      <c r="F98">
        <v>0</v>
      </c>
      <c r="G98">
        <v>0</v>
      </c>
      <c r="H98">
        <v>0</v>
      </c>
      <c r="I98" s="1" t="str">
        <f t="shared" ref="I98:I104" si="9">E98&amp;" "&amp;G98</f>
        <v>0 0</v>
      </c>
      <c r="J98" t="s">
        <v>78</v>
      </c>
    </row>
    <row r="99" spans="1:10" ht="15.75">
      <c r="A99">
        <v>3</v>
      </c>
      <c r="B99" t="s">
        <v>10</v>
      </c>
      <c r="C99" t="s">
        <v>22</v>
      </c>
      <c r="D99">
        <v>4</v>
      </c>
      <c r="E99">
        <v>0</v>
      </c>
      <c r="F99">
        <v>0</v>
      </c>
      <c r="G99">
        <v>0</v>
      </c>
      <c r="H99">
        <v>0</v>
      </c>
      <c r="I99" s="1" t="str">
        <f t="shared" si="9"/>
        <v>0 0</v>
      </c>
      <c r="J99" t="s">
        <v>78</v>
      </c>
    </row>
    <row r="100" spans="1:10" ht="15.75">
      <c r="A100">
        <v>4</v>
      </c>
      <c r="B100" t="s">
        <v>10</v>
      </c>
      <c r="C100" t="s">
        <v>25</v>
      </c>
      <c r="D100">
        <v>4</v>
      </c>
      <c r="E100">
        <v>0</v>
      </c>
      <c r="F100">
        <v>0</v>
      </c>
      <c r="G100">
        <v>0</v>
      </c>
      <c r="H100">
        <v>0</v>
      </c>
      <c r="I100" s="1" t="str">
        <f t="shared" si="9"/>
        <v>0 0</v>
      </c>
      <c r="J100" t="s">
        <v>78</v>
      </c>
    </row>
    <row r="101" spans="1:10" ht="15.75">
      <c r="A101">
        <v>5</v>
      </c>
      <c r="B101" t="s">
        <v>28</v>
      </c>
      <c r="C101" t="s">
        <v>11</v>
      </c>
      <c r="D101">
        <v>4</v>
      </c>
      <c r="E101">
        <v>1.79725</v>
      </c>
      <c r="F101">
        <v>0.66198109999999999</v>
      </c>
      <c r="G101">
        <v>0.33099050000000002</v>
      </c>
      <c r="H101">
        <v>1.0533596000000001</v>
      </c>
      <c r="I101" s="1" t="str">
        <f t="shared" si="9"/>
        <v>1,79725 0,3309905</v>
      </c>
      <c r="J101" t="s">
        <v>115</v>
      </c>
    </row>
    <row r="102" spans="1:10" ht="15.75">
      <c r="A102">
        <v>6</v>
      </c>
      <c r="B102" t="s">
        <v>28</v>
      </c>
      <c r="C102" t="s">
        <v>19</v>
      </c>
      <c r="D102">
        <v>4</v>
      </c>
      <c r="E102">
        <v>2.3657499999999998</v>
      </c>
      <c r="F102">
        <v>0.57736030000000005</v>
      </c>
      <c r="G102">
        <v>0.2886802</v>
      </c>
      <c r="H102">
        <v>0.91870909999999995</v>
      </c>
      <c r="I102" s="1" t="str">
        <f t="shared" si="9"/>
        <v>2,36575 0,2886802</v>
      </c>
      <c r="J102" t="s">
        <v>116</v>
      </c>
    </row>
    <row r="103" spans="1:10" ht="15.75">
      <c r="A103">
        <v>7</v>
      </c>
      <c r="B103" t="s">
        <v>28</v>
      </c>
      <c r="C103" t="s">
        <v>22</v>
      </c>
      <c r="D103">
        <v>4</v>
      </c>
      <c r="E103">
        <v>1.7375</v>
      </c>
      <c r="F103">
        <v>0.49732789999999999</v>
      </c>
      <c r="G103">
        <v>0.24866389999999999</v>
      </c>
      <c r="H103">
        <v>0.79135960000000005</v>
      </c>
      <c r="I103" s="1" t="str">
        <f t="shared" si="9"/>
        <v>1,7375 0,2486639</v>
      </c>
      <c r="J103" t="s">
        <v>117</v>
      </c>
    </row>
    <row r="104" spans="1:10" ht="15.75">
      <c r="A104">
        <v>8</v>
      </c>
      <c r="B104" t="s">
        <v>28</v>
      </c>
      <c r="C104" t="s">
        <v>25</v>
      </c>
      <c r="D104">
        <v>4</v>
      </c>
      <c r="E104">
        <v>2.25325</v>
      </c>
      <c r="F104">
        <v>0.96392889999999998</v>
      </c>
      <c r="G104">
        <v>0.48196440000000002</v>
      </c>
      <c r="H104">
        <v>1.5338259999999999</v>
      </c>
      <c r="I104" s="1" t="str">
        <f t="shared" si="9"/>
        <v>2,25325 0,4819644</v>
      </c>
      <c r="J104" t="s">
        <v>118</v>
      </c>
    </row>
    <row r="106" spans="1:10">
      <c r="A106" t="s">
        <v>35</v>
      </c>
      <c r="B106" t="s">
        <v>36</v>
      </c>
      <c r="C106" t="s">
        <v>37</v>
      </c>
      <c r="D106" t="s">
        <v>119</v>
      </c>
      <c r="E106" s="13" t="s">
        <v>120</v>
      </c>
      <c r="F106" t="s">
        <v>5</v>
      </c>
      <c r="G106" t="s">
        <v>6</v>
      </c>
      <c r="H106" t="s">
        <v>7</v>
      </c>
    </row>
    <row r="107" spans="1:10" ht="15.75">
      <c r="A107">
        <v>1</v>
      </c>
      <c r="B107" t="s">
        <v>10</v>
      </c>
      <c r="C107" t="s">
        <v>11</v>
      </c>
      <c r="D107">
        <v>4</v>
      </c>
      <c r="E107">
        <v>542.87249999999995</v>
      </c>
      <c r="F107">
        <v>342.166</v>
      </c>
      <c r="G107">
        <v>171.083</v>
      </c>
      <c r="H107">
        <v>544.4624</v>
      </c>
      <c r="I107" s="1" t="str">
        <f>E107&amp;" "&amp;G107</f>
        <v>542,8725 171,083</v>
      </c>
      <c r="J107" t="s">
        <v>121</v>
      </c>
    </row>
    <row r="108" spans="1:10" ht="15.75">
      <c r="A108">
        <v>2</v>
      </c>
      <c r="B108" t="s">
        <v>10</v>
      </c>
      <c r="C108" t="s">
        <v>19</v>
      </c>
      <c r="D108">
        <v>4</v>
      </c>
      <c r="E108">
        <v>811.30499999999995</v>
      </c>
      <c r="F108">
        <v>250.15010000000001</v>
      </c>
      <c r="G108">
        <v>125.075</v>
      </c>
      <c r="H108">
        <v>398.0446</v>
      </c>
      <c r="I108" s="1" t="str">
        <f t="shared" ref="I108:I114" si="10">E108&amp;" "&amp;G108</f>
        <v>811,305 125,075</v>
      </c>
      <c r="J108" t="s">
        <v>122</v>
      </c>
    </row>
    <row r="109" spans="1:10" ht="15.75">
      <c r="A109">
        <v>3</v>
      </c>
      <c r="B109" t="s">
        <v>10</v>
      </c>
      <c r="C109" t="s">
        <v>22</v>
      </c>
      <c r="D109">
        <v>4</v>
      </c>
      <c r="E109">
        <v>1400.6065000000001</v>
      </c>
      <c r="F109">
        <v>613.14239999999995</v>
      </c>
      <c r="G109">
        <v>306.57119999999998</v>
      </c>
      <c r="H109">
        <v>975.64639999999997</v>
      </c>
      <c r="I109" s="1" t="str">
        <f t="shared" si="10"/>
        <v>1400,6065 306,5712</v>
      </c>
      <c r="J109" t="s">
        <v>123</v>
      </c>
    </row>
    <row r="110" spans="1:10" ht="15.75">
      <c r="A110">
        <v>4</v>
      </c>
      <c r="B110" t="s">
        <v>10</v>
      </c>
      <c r="C110" t="s">
        <v>25</v>
      </c>
      <c r="D110">
        <v>4</v>
      </c>
      <c r="E110">
        <v>2777.8085000000001</v>
      </c>
      <c r="F110">
        <v>1759.5237999999999</v>
      </c>
      <c r="G110">
        <v>879.76189999999997</v>
      </c>
      <c r="H110">
        <v>2799.7950000000001</v>
      </c>
      <c r="I110" s="1" t="str">
        <f t="shared" si="10"/>
        <v>2777,8085 879,7619</v>
      </c>
      <c r="J110" t="s">
        <v>124</v>
      </c>
    </row>
    <row r="111" spans="1:10" ht="15.75">
      <c r="A111">
        <v>5</v>
      </c>
      <c r="B111" t="s">
        <v>28</v>
      </c>
      <c r="C111" t="s">
        <v>11</v>
      </c>
      <c r="D111">
        <v>4</v>
      </c>
      <c r="E111">
        <v>1313.6420000000001</v>
      </c>
      <c r="F111">
        <v>582.75170000000003</v>
      </c>
      <c r="G111">
        <v>291.3759</v>
      </c>
      <c r="H111">
        <v>927.28800000000001</v>
      </c>
      <c r="I111" s="1" t="str">
        <f t="shared" si="10"/>
        <v>1313,642 291,3759</v>
      </c>
      <c r="J111" t="s">
        <v>125</v>
      </c>
    </row>
    <row r="112" spans="1:10" ht="15.75">
      <c r="A112">
        <v>6</v>
      </c>
      <c r="B112" t="s">
        <v>28</v>
      </c>
      <c r="C112" t="s">
        <v>19</v>
      </c>
      <c r="D112">
        <v>4</v>
      </c>
      <c r="E112">
        <v>1583.048</v>
      </c>
      <c r="F112">
        <v>585.52290000000005</v>
      </c>
      <c r="G112">
        <v>292.76150000000001</v>
      </c>
      <c r="H112">
        <v>931.69759999999997</v>
      </c>
      <c r="I112" s="1" t="str">
        <f t="shared" si="10"/>
        <v>1583,048 292,7615</v>
      </c>
      <c r="J112" t="s">
        <v>126</v>
      </c>
    </row>
    <row r="113" spans="1:10" ht="15.75">
      <c r="A113">
        <v>7</v>
      </c>
      <c r="B113" t="s">
        <v>28</v>
      </c>
      <c r="C113" t="s">
        <v>22</v>
      </c>
      <c r="D113">
        <v>4</v>
      </c>
      <c r="E113">
        <v>880.45899999999995</v>
      </c>
      <c r="F113">
        <v>276.66980000000001</v>
      </c>
      <c r="G113">
        <v>138.3349</v>
      </c>
      <c r="H113">
        <v>440.24340000000001</v>
      </c>
      <c r="I113" s="1" t="str">
        <f t="shared" si="10"/>
        <v>880,459 138,3349</v>
      </c>
      <c r="J113" t="s">
        <v>127</v>
      </c>
    </row>
    <row r="114" spans="1:10" ht="15.75">
      <c r="A114">
        <v>8</v>
      </c>
      <c r="B114" t="s">
        <v>28</v>
      </c>
      <c r="C114" t="s">
        <v>25</v>
      </c>
      <c r="D114">
        <v>4</v>
      </c>
      <c r="E114">
        <v>767.3297</v>
      </c>
      <c r="F114">
        <v>250.02099999999999</v>
      </c>
      <c r="G114">
        <v>125.01049999999999</v>
      </c>
      <c r="H114">
        <v>397.83920000000001</v>
      </c>
      <c r="I114" s="1" t="str">
        <f t="shared" si="10"/>
        <v>767,3297 125,0105</v>
      </c>
      <c r="J114" t="s">
        <v>128</v>
      </c>
    </row>
    <row r="116" spans="1:10">
      <c r="A116" t="s">
        <v>0</v>
      </c>
      <c r="B116" t="s">
        <v>1</v>
      </c>
      <c r="C116" t="s">
        <v>2</v>
      </c>
      <c r="D116" t="s">
        <v>129</v>
      </c>
      <c r="E116" s="13" t="s">
        <v>130</v>
      </c>
      <c r="F116" t="s">
        <v>5</v>
      </c>
      <c r="G116" t="s">
        <v>6</v>
      </c>
      <c r="H116" t="s">
        <v>7</v>
      </c>
    </row>
    <row r="117" spans="1:10" ht="15.75">
      <c r="A117">
        <v>1</v>
      </c>
      <c r="B117" t="s">
        <v>10</v>
      </c>
      <c r="C117" t="s">
        <v>11</v>
      </c>
      <c r="D117">
        <v>4</v>
      </c>
      <c r="E117">
        <v>0.59599999999999997</v>
      </c>
      <c r="F117">
        <v>6.9957130000000006E-2</v>
      </c>
      <c r="G117">
        <v>3.4978559999999999E-2</v>
      </c>
      <c r="H117">
        <v>0.1113174</v>
      </c>
      <c r="I117" s="1" t="str">
        <f>E117&amp;" "&amp;G117</f>
        <v>0,596 0,03497856</v>
      </c>
      <c r="J117" t="s">
        <v>131</v>
      </c>
    </row>
    <row r="118" spans="1:10" ht="15.75">
      <c r="A118">
        <v>2</v>
      </c>
      <c r="B118" t="s">
        <v>10</v>
      </c>
      <c r="C118" t="s">
        <v>19</v>
      </c>
      <c r="D118">
        <v>4</v>
      </c>
      <c r="E118">
        <v>0.79425000000000001</v>
      </c>
      <c r="F118">
        <v>0.17560823</v>
      </c>
      <c r="G118">
        <v>8.7804110000000005E-2</v>
      </c>
      <c r="H118">
        <v>0.27943190000000001</v>
      </c>
      <c r="I118" s="1" t="str">
        <f t="shared" ref="I118:I124" si="11">E118&amp;" "&amp;G118</f>
        <v>0,79425 0,08780411</v>
      </c>
      <c r="J118" t="s">
        <v>132</v>
      </c>
    </row>
    <row r="119" spans="1:10" ht="15.75">
      <c r="A119">
        <v>3</v>
      </c>
      <c r="B119" t="s">
        <v>10</v>
      </c>
      <c r="C119" t="s">
        <v>22</v>
      </c>
      <c r="D119">
        <v>4</v>
      </c>
      <c r="E119">
        <v>0.92449999999999999</v>
      </c>
      <c r="F119">
        <v>0.34630863000000001</v>
      </c>
      <c r="G119">
        <v>0.17315431000000001</v>
      </c>
      <c r="H119">
        <v>0.5510543</v>
      </c>
      <c r="I119" s="1" t="str">
        <f t="shared" si="11"/>
        <v>0,9245 0,17315431</v>
      </c>
      <c r="J119" t="s">
        <v>133</v>
      </c>
    </row>
    <row r="120" spans="1:10" ht="15.75">
      <c r="A120">
        <v>4</v>
      </c>
      <c r="B120" t="s">
        <v>10</v>
      </c>
      <c r="C120" t="s">
        <v>25</v>
      </c>
      <c r="D120">
        <v>4</v>
      </c>
      <c r="E120">
        <v>1.4492499999999999</v>
      </c>
      <c r="F120">
        <v>0.59388965000000005</v>
      </c>
      <c r="G120">
        <v>0.29694482999999999</v>
      </c>
      <c r="H120">
        <v>0.94501100000000005</v>
      </c>
      <c r="I120" s="1" t="str">
        <f t="shared" si="11"/>
        <v>1,44925 0,29694483</v>
      </c>
      <c r="J120" t="s">
        <v>134</v>
      </c>
    </row>
    <row r="121" spans="1:10" ht="15.75">
      <c r="A121">
        <v>5</v>
      </c>
      <c r="B121" t="s">
        <v>28</v>
      </c>
      <c r="C121" t="s">
        <v>11</v>
      </c>
      <c r="D121">
        <v>4</v>
      </c>
      <c r="E121">
        <v>0.71899999999999997</v>
      </c>
      <c r="F121">
        <v>8.8739319999999997E-2</v>
      </c>
      <c r="G121">
        <v>4.4369659999999998E-2</v>
      </c>
      <c r="H121">
        <v>0.1412041</v>
      </c>
      <c r="I121" s="1" t="str">
        <f t="shared" si="11"/>
        <v>0,719 0,04436966</v>
      </c>
      <c r="J121" t="s">
        <v>135</v>
      </c>
    </row>
    <row r="122" spans="1:10" ht="15.75">
      <c r="A122">
        <v>6</v>
      </c>
      <c r="B122" t="s">
        <v>28</v>
      </c>
      <c r="C122" t="s">
        <v>19</v>
      </c>
      <c r="D122">
        <v>4</v>
      </c>
      <c r="E122">
        <v>0.95574999999999999</v>
      </c>
      <c r="F122">
        <v>0.13714560000000001</v>
      </c>
      <c r="G122">
        <v>6.8572800000000003E-2</v>
      </c>
      <c r="H122">
        <v>0.21822929999999999</v>
      </c>
      <c r="I122" s="1" t="str">
        <f t="shared" si="11"/>
        <v>0,95575 0,0685728</v>
      </c>
      <c r="J122" t="s">
        <v>136</v>
      </c>
    </row>
    <row r="123" spans="1:10" ht="15.75">
      <c r="A123">
        <v>7</v>
      </c>
      <c r="B123" t="s">
        <v>28</v>
      </c>
      <c r="C123" t="s">
        <v>22</v>
      </c>
      <c r="D123">
        <v>4</v>
      </c>
      <c r="E123">
        <v>0.76524999999999999</v>
      </c>
      <c r="F123">
        <v>0.12527669</v>
      </c>
      <c r="G123">
        <v>6.2638349999999995E-2</v>
      </c>
      <c r="H123">
        <v>0.1993432</v>
      </c>
      <c r="I123" s="1" t="str">
        <f t="shared" si="11"/>
        <v>0,76525 0,06263835</v>
      </c>
      <c r="J123" t="s">
        <v>137</v>
      </c>
    </row>
    <row r="124" spans="1:10" ht="15.75">
      <c r="A124">
        <v>8</v>
      </c>
      <c r="B124" t="s">
        <v>28</v>
      </c>
      <c r="C124" t="s">
        <v>25</v>
      </c>
      <c r="D124">
        <v>4</v>
      </c>
      <c r="E124">
        <v>0.95374999999999999</v>
      </c>
      <c r="F124">
        <v>0.23891055</v>
      </c>
      <c r="G124">
        <v>0.11945527</v>
      </c>
      <c r="H124">
        <v>0.38016</v>
      </c>
      <c r="I124" s="1" t="str">
        <f t="shared" si="11"/>
        <v>0,95375 0,11945527</v>
      </c>
      <c r="J124" t="s">
        <v>138</v>
      </c>
    </row>
    <row r="126" spans="1:10">
      <c r="A126" t="s">
        <v>34</v>
      </c>
    </row>
    <row r="128" spans="1:10">
      <c r="A128" t="s">
        <v>35</v>
      </c>
      <c r="B128" t="s">
        <v>36</v>
      </c>
      <c r="C128" t="s">
        <v>37</v>
      </c>
      <c r="D128" t="s">
        <v>139</v>
      </c>
      <c r="E128" s="13" t="s">
        <v>140</v>
      </c>
      <c r="F128" t="s">
        <v>5</v>
      </c>
      <c r="G128" t="s">
        <v>6</v>
      </c>
      <c r="H128" t="s">
        <v>7</v>
      </c>
    </row>
    <row r="129" spans="1:10" ht="15.75">
      <c r="A129">
        <v>1</v>
      </c>
      <c r="B129" t="s">
        <v>10</v>
      </c>
      <c r="C129" t="s">
        <v>11</v>
      </c>
      <c r="D129">
        <v>4</v>
      </c>
      <c r="E129">
        <v>0.11600000000000001</v>
      </c>
      <c r="F129">
        <v>6.164414E-3</v>
      </c>
      <c r="G129">
        <v>3.082207E-3</v>
      </c>
      <c r="H129">
        <v>9.8089579999999996E-3</v>
      </c>
      <c r="I129" s="1" t="str">
        <f>E129&amp;" "&amp;G129</f>
        <v>0,116 0,003082207</v>
      </c>
      <c r="J129" t="s">
        <v>141</v>
      </c>
    </row>
    <row r="130" spans="1:10" ht="15.75">
      <c r="A130">
        <v>2</v>
      </c>
      <c r="B130" t="s">
        <v>10</v>
      </c>
      <c r="C130" t="s">
        <v>19</v>
      </c>
      <c r="D130">
        <v>4</v>
      </c>
      <c r="E130">
        <v>0.16275000000000001</v>
      </c>
      <c r="F130">
        <v>4.3369536E-2</v>
      </c>
      <c r="G130">
        <v>2.1684768E-2</v>
      </c>
      <c r="H130">
        <v>6.901061E-2</v>
      </c>
      <c r="I130" s="1" t="str">
        <f t="shared" ref="I130:I136" si="12">E130&amp;" "&amp;G130</f>
        <v>0,16275 0,021684768</v>
      </c>
      <c r="J130" t="s">
        <v>142</v>
      </c>
    </row>
    <row r="131" spans="1:10" ht="15.75">
      <c r="A131">
        <v>3</v>
      </c>
      <c r="B131" t="s">
        <v>10</v>
      </c>
      <c r="C131" t="s">
        <v>22</v>
      </c>
      <c r="D131">
        <v>4</v>
      </c>
      <c r="E131">
        <v>0.17150000000000001</v>
      </c>
      <c r="F131">
        <v>6.8320324000000002E-2</v>
      </c>
      <c r="G131">
        <v>3.4160162000000001E-2</v>
      </c>
      <c r="H131">
        <v>0.108712881</v>
      </c>
      <c r="I131" s="1" t="str">
        <f t="shared" si="12"/>
        <v>0,1715 0,034160162</v>
      </c>
      <c r="J131" t="s">
        <v>143</v>
      </c>
    </row>
    <row r="132" spans="1:10" ht="15.75">
      <c r="A132">
        <v>4</v>
      </c>
      <c r="B132" t="s">
        <v>10</v>
      </c>
      <c r="C132" t="s">
        <v>25</v>
      </c>
      <c r="D132">
        <v>4</v>
      </c>
      <c r="E132">
        <v>0.27350000000000002</v>
      </c>
      <c r="F132">
        <v>0.16321049800000001</v>
      </c>
      <c r="G132">
        <v>8.1605249000000005E-2</v>
      </c>
      <c r="H132">
        <v>0.25970432300000001</v>
      </c>
      <c r="I132" s="1" t="str">
        <f t="shared" si="12"/>
        <v>0,2735 0,081605249</v>
      </c>
      <c r="J132" t="s">
        <v>144</v>
      </c>
    </row>
    <row r="133" spans="1:10" ht="15.75">
      <c r="A133">
        <v>5</v>
      </c>
      <c r="B133" t="s">
        <v>28</v>
      </c>
      <c r="C133" t="s">
        <v>11</v>
      </c>
      <c r="D133">
        <v>4</v>
      </c>
      <c r="E133">
        <v>0.11675000000000001</v>
      </c>
      <c r="F133">
        <v>1.4244882E-2</v>
      </c>
      <c r="G133">
        <v>7.1224410000000002E-3</v>
      </c>
      <c r="H133">
        <v>2.2666786000000001E-2</v>
      </c>
      <c r="I133" s="1" t="str">
        <f t="shared" si="12"/>
        <v>0,11675 0,007122441</v>
      </c>
      <c r="J133" t="s">
        <v>145</v>
      </c>
    </row>
    <row r="134" spans="1:10" ht="15.75">
      <c r="A134">
        <v>6</v>
      </c>
      <c r="B134" t="s">
        <v>28</v>
      </c>
      <c r="C134" t="s">
        <v>19</v>
      </c>
      <c r="D134">
        <v>4</v>
      </c>
      <c r="E134">
        <v>0.123</v>
      </c>
      <c r="F134">
        <v>5.5021208000000002E-2</v>
      </c>
      <c r="G134">
        <v>2.7510604000000001E-2</v>
      </c>
      <c r="H134">
        <v>8.7551019999999993E-2</v>
      </c>
      <c r="I134" s="1" t="str">
        <f t="shared" si="12"/>
        <v>0,123 0,027510604</v>
      </c>
      <c r="J134" t="s">
        <v>146</v>
      </c>
    </row>
    <row r="135" spans="1:10" ht="15.75">
      <c r="A135">
        <v>7</v>
      </c>
      <c r="B135" t="s">
        <v>28</v>
      </c>
      <c r="C135" t="s">
        <v>22</v>
      </c>
      <c r="D135">
        <v>4</v>
      </c>
      <c r="E135">
        <v>0.10925</v>
      </c>
      <c r="F135">
        <v>1.1441882E-2</v>
      </c>
      <c r="G135">
        <v>5.7209410000000002E-3</v>
      </c>
      <c r="H135">
        <v>1.8206587999999999E-2</v>
      </c>
      <c r="I135" s="1" t="str">
        <f t="shared" si="12"/>
        <v>0,10925 0,005720941</v>
      </c>
      <c r="J135" t="s">
        <v>147</v>
      </c>
    </row>
    <row r="136" spans="1:10" ht="15.75">
      <c r="A136">
        <v>8</v>
      </c>
      <c r="B136" t="s">
        <v>28</v>
      </c>
      <c r="C136" t="s">
        <v>25</v>
      </c>
      <c r="D136">
        <v>4</v>
      </c>
      <c r="E136">
        <v>0.12725</v>
      </c>
      <c r="F136">
        <v>2.1929812E-2</v>
      </c>
      <c r="G136">
        <v>1.0964906E-2</v>
      </c>
      <c r="H136">
        <v>3.4895225000000002E-2</v>
      </c>
      <c r="I136" s="1" t="str">
        <f t="shared" si="12"/>
        <v>0,12725 0,010964906</v>
      </c>
      <c r="J136" t="s">
        <v>148</v>
      </c>
    </row>
    <row r="138" spans="1:10">
      <c r="A138" t="s">
        <v>34</v>
      </c>
    </row>
    <row r="139" spans="1:10">
      <c r="A139" t="s">
        <v>35</v>
      </c>
      <c r="B139" t="s">
        <v>36</v>
      </c>
      <c r="C139" t="s">
        <v>37</v>
      </c>
      <c r="D139" t="s">
        <v>149</v>
      </c>
      <c r="E139" s="13" t="s">
        <v>150</v>
      </c>
      <c r="F139" t="s">
        <v>5</v>
      </c>
      <c r="G139" t="s">
        <v>6</v>
      </c>
      <c r="H139" t="s">
        <v>7</v>
      </c>
    </row>
    <row r="140" spans="1:10" ht="15.75">
      <c r="A140">
        <v>1</v>
      </c>
      <c r="B140" t="s">
        <v>10</v>
      </c>
      <c r="C140" t="s">
        <v>11</v>
      </c>
      <c r="D140">
        <v>4</v>
      </c>
      <c r="E140">
        <v>0.43125000000000002</v>
      </c>
      <c r="F140">
        <v>2.7023140000000001E-2</v>
      </c>
      <c r="G140">
        <v>1.3511570000000001E-2</v>
      </c>
      <c r="H140">
        <v>4.2999839999999998E-2</v>
      </c>
      <c r="I140" s="1" t="str">
        <f>E140&amp;" "&amp;G140</f>
        <v>0,43125 0,01351157</v>
      </c>
      <c r="J140" t="s">
        <v>151</v>
      </c>
    </row>
    <row r="141" spans="1:10" ht="15.75">
      <c r="A141">
        <v>2</v>
      </c>
      <c r="B141" t="s">
        <v>10</v>
      </c>
      <c r="C141" t="s">
        <v>19</v>
      </c>
      <c r="D141">
        <v>4</v>
      </c>
      <c r="E141">
        <v>0.74</v>
      </c>
      <c r="F141">
        <v>0.21140009000000001</v>
      </c>
      <c r="G141">
        <v>0.10570005</v>
      </c>
      <c r="H141">
        <v>0.33638473000000002</v>
      </c>
      <c r="I141" s="1" t="str">
        <f t="shared" ref="I141:I147" si="13">E141&amp;" "&amp;G141</f>
        <v>0,74 0,10570005</v>
      </c>
      <c r="J141" t="s">
        <v>152</v>
      </c>
    </row>
    <row r="142" spans="1:10" ht="15.75">
      <c r="A142">
        <v>3</v>
      </c>
      <c r="B142" t="s">
        <v>10</v>
      </c>
      <c r="C142" t="s">
        <v>22</v>
      </c>
      <c r="D142">
        <v>4</v>
      </c>
      <c r="E142">
        <v>0.65700000000000003</v>
      </c>
      <c r="F142">
        <v>0.28690881000000001</v>
      </c>
      <c r="G142">
        <v>0.14345441</v>
      </c>
      <c r="H142">
        <v>0.45653595000000002</v>
      </c>
      <c r="I142" s="1" t="str">
        <f t="shared" si="13"/>
        <v>0,657 0,14345441</v>
      </c>
      <c r="J142" t="s">
        <v>153</v>
      </c>
    </row>
    <row r="143" spans="1:10" ht="15.75">
      <c r="A143">
        <v>4</v>
      </c>
      <c r="B143" t="s">
        <v>10</v>
      </c>
      <c r="C143" t="s">
        <v>25</v>
      </c>
      <c r="D143">
        <v>4</v>
      </c>
      <c r="E143">
        <v>1.0965</v>
      </c>
      <c r="F143">
        <v>0.95469663999999999</v>
      </c>
      <c r="G143">
        <v>0.47734831999999999</v>
      </c>
      <c r="H143">
        <v>1.51913539</v>
      </c>
      <c r="I143" s="1" t="str">
        <f t="shared" si="13"/>
        <v>1,0965 0,47734832</v>
      </c>
      <c r="J143" t="s">
        <v>154</v>
      </c>
    </row>
    <row r="144" spans="1:10" ht="15.75">
      <c r="A144">
        <v>5</v>
      </c>
      <c r="B144" t="s">
        <v>28</v>
      </c>
      <c r="C144" t="s">
        <v>11</v>
      </c>
      <c r="D144">
        <v>4</v>
      </c>
      <c r="E144">
        <v>1.355</v>
      </c>
      <c r="F144">
        <v>0.26855788000000003</v>
      </c>
      <c r="G144">
        <v>0.13427894000000001</v>
      </c>
      <c r="H144">
        <v>0.42733550999999997</v>
      </c>
      <c r="I144" s="1" t="str">
        <f t="shared" si="13"/>
        <v>1,355 0,13427894</v>
      </c>
      <c r="J144" t="s">
        <v>155</v>
      </c>
    </row>
    <row r="145" spans="1:10" ht="15.75">
      <c r="A145">
        <v>6</v>
      </c>
      <c r="B145" t="s">
        <v>28</v>
      </c>
      <c r="C145" t="s">
        <v>19</v>
      </c>
      <c r="D145">
        <v>4</v>
      </c>
      <c r="E145">
        <v>1.593</v>
      </c>
      <c r="F145">
        <v>0.40471636</v>
      </c>
      <c r="G145">
        <v>0.20235818</v>
      </c>
      <c r="H145">
        <v>0.64399404000000005</v>
      </c>
      <c r="I145" s="1" t="str">
        <f t="shared" si="13"/>
        <v>1,593 0,20235818</v>
      </c>
      <c r="J145" t="s">
        <v>156</v>
      </c>
    </row>
    <row r="146" spans="1:10" ht="15.75">
      <c r="A146">
        <v>7</v>
      </c>
      <c r="B146" t="s">
        <v>28</v>
      </c>
      <c r="C146" t="s">
        <v>22</v>
      </c>
      <c r="D146">
        <v>4</v>
      </c>
      <c r="E146">
        <v>1.34775</v>
      </c>
      <c r="F146">
        <v>0.16072622</v>
      </c>
      <c r="G146">
        <v>8.0363110000000001E-2</v>
      </c>
      <c r="H146">
        <v>0.25575128000000003</v>
      </c>
      <c r="I146" s="1" t="str">
        <f t="shared" si="13"/>
        <v>1,34775 0,08036311</v>
      </c>
      <c r="J146" t="s">
        <v>157</v>
      </c>
    </row>
    <row r="147" spans="1:10" ht="15.75">
      <c r="A147">
        <v>8</v>
      </c>
      <c r="B147" t="s">
        <v>28</v>
      </c>
      <c r="C147" t="s">
        <v>25</v>
      </c>
      <c r="D147">
        <v>4</v>
      </c>
      <c r="E147">
        <v>1.54525</v>
      </c>
      <c r="F147">
        <v>0.23577160999999999</v>
      </c>
      <c r="G147">
        <v>0.1178858</v>
      </c>
      <c r="H147">
        <v>0.37516524000000001</v>
      </c>
      <c r="I147" s="1" t="str">
        <f t="shared" si="13"/>
        <v>1,54525 0,1178858</v>
      </c>
      <c r="J147" t="s">
        <v>158</v>
      </c>
    </row>
    <row r="150" spans="1:10">
      <c r="A150" t="s">
        <v>35</v>
      </c>
      <c r="B150" t="s">
        <v>36</v>
      </c>
      <c r="C150" t="s">
        <v>37</v>
      </c>
      <c r="D150" t="s">
        <v>38</v>
      </c>
      <c r="E150" s="12" t="s">
        <v>159</v>
      </c>
      <c r="F150" t="s">
        <v>5</v>
      </c>
      <c r="G150" t="s">
        <v>6</v>
      </c>
      <c r="H150" t="s">
        <v>7</v>
      </c>
    </row>
    <row r="151" spans="1:10" ht="15.75">
      <c r="A151">
        <v>1</v>
      </c>
      <c r="B151" t="s">
        <v>10</v>
      </c>
      <c r="C151" t="s">
        <v>11</v>
      </c>
      <c r="D151">
        <v>4</v>
      </c>
      <c r="E151">
        <v>21.424499999999998</v>
      </c>
      <c r="F151">
        <v>8.0129180000000009</v>
      </c>
      <c r="G151">
        <v>4.0064590000000004</v>
      </c>
      <c r="H151">
        <v>12.75034</v>
      </c>
      <c r="I151" s="1" t="str">
        <f>E151&amp;" "&amp;G151</f>
        <v>21,4245 4,006459</v>
      </c>
      <c r="J151" t="s">
        <v>160</v>
      </c>
    </row>
    <row r="152" spans="1:10" ht="15.75">
      <c r="A152">
        <v>2</v>
      </c>
      <c r="B152" t="s">
        <v>10</v>
      </c>
      <c r="C152" t="s">
        <v>19</v>
      </c>
      <c r="D152">
        <v>4</v>
      </c>
      <c r="E152">
        <v>29.397749999999998</v>
      </c>
      <c r="F152">
        <v>7.5971039999999999</v>
      </c>
      <c r="G152">
        <v>3.7985519999999999</v>
      </c>
      <c r="H152">
        <v>12.088687999999999</v>
      </c>
      <c r="I152" s="1" t="str">
        <f t="shared" ref="I152:I158" si="14">E152&amp;" "&amp;G152</f>
        <v>29,39775 3,798552</v>
      </c>
      <c r="J152" t="s">
        <v>161</v>
      </c>
    </row>
    <row r="153" spans="1:10" ht="15.75">
      <c r="A153">
        <v>3</v>
      </c>
      <c r="B153" t="s">
        <v>10</v>
      </c>
      <c r="C153" t="s">
        <v>22</v>
      </c>
      <c r="D153">
        <v>4</v>
      </c>
      <c r="E153">
        <v>32.679250000000003</v>
      </c>
      <c r="F153">
        <v>18.695727000000002</v>
      </c>
      <c r="G153">
        <v>9.3478630000000003</v>
      </c>
      <c r="H153">
        <v>29.749072999999999</v>
      </c>
      <c r="I153" s="1" t="str">
        <f t="shared" si="14"/>
        <v>32,67925 9,347863</v>
      </c>
      <c r="J153" t="s">
        <v>162</v>
      </c>
    </row>
    <row r="154" spans="1:10" ht="15.75">
      <c r="A154">
        <v>4</v>
      </c>
      <c r="B154" t="s">
        <v>10</v>
      </c>
      <c r="C154" t="s">
        <v>25</v>
      </c>
      <c r="D154">
        <v>4</v>
      </c>
      <c r="E154">
        <v>50.015500000000003</v>
      </c>
      <c r="F154">
        <v>31.620528</v>
      </c>
      <c r="G154">
        <v>15.810264</v>
      </c>
      <c r="H154">
        <v>50.315317</v>
      </c>
      <c r="I154" s="1" t="str">
        <f t="shared" si="14"/>
        <v>50,0155 15,810264</v>
      </c>
      <c r="J154" t="s">
        <v>163</v>
      </c>
    </row>
    <row r="155" spans="1:10" ht="15.75">
      <c r="A155">
        <v>5</v>
      </c>
      <c r="B155" t="s">
        <v>28</v>
      </c>
      <c r="C155" t="s">
        <v>11</v>
      </c>
      <c r="D155">
        <v>4</v>
      </c>
      <c r="E155">
        <v>12.7235</v>
      </c>
      <c r="F155">
        <v>2.7395999999999998</v>
      </c>
      <c r="G155">
        <v>1.3697999999999999</v>
      </c>
      <c r="H155">
        <v>4.3593149999999996</v>
      </c>
      <c r="I155" s="1" t="str">
        <f t="shared" si="14"/>
        <v>12,7235 1,3698</v>
      </c>
      <c r="J155" t="s">
        <v>164</v>
      </c>
    </row>
    <row r="156" spans="1:10" ht="15.75">
      <c r="A156">
        <v>6</v>
      </c>
      <c r="B156" t="s">
        <v>28</v>
      </c>
      <c r="C156" t="s">
        <v>19</v>
      </c>
      <c r="D156">
        <v>4</v>
      </c>
      <c r="E156">
        <v>14.4435</v>
      </c>
      <c r="F156">
        <v>7.5638459999999998</v>
      </c>
      <c r="G156">
        <v>3.7819229999999999</v>
      </c>
      <c r="H156">
        <v>12.035767</v>
      </c>
      <c r="I156" s="1" t="str">
        <f t="shared" si="14"/>
        <v>14,4435 3,781923</v>
      </c>
      <c r="J156" t="s">
        <v>165</v>
      </c>
    </row>
    <row r="157" spans="1:10" ht="15.75">
      <c r="A157">
        <v>7</v>
      </c>
      <c r="B157" t="s">
        <v>28</v>
      </c>
      <c r="C157" t="s">
        <v>22</v>
      </c>
      <c r="D157">
        <v>4</v>
      </c>
      <c r="E157">
        <v>13.8935</v>
      </c>
      <c r="F157">
        <v>3.7197</v>
      </c>
      <c r="G157">
        <v>1.85985</v>
      </c>
      <c r="H157">
        <v>5.9188729999999996</v>
      </c>
      <c r="I157" s="1" t="str">
        <f t="shared" si="14"/>
        <v>13,8935 1,85985</v>
      </c>
      <c r="J157" t="s">
        <v>166</v>
      </c>
    </row>
    <row r="158" spans="1:10" ht="15.75">
      <c r="A158">
        <v>8</v>
      </c>
      <c r="B158" t="s">
        <v>28</v>
      </c>
      <c r="C158" t="s">
        <v>25</v>
      </c>
      <c r="D158">
        <v>4</v>
      </c>
      <c r="E158">
        <v>12.79125</v>
      </c>
      <c r="F158">
        <v>2.0143689999999999</v>
      </c>
      <c r="G158">
        <v>1.0071840000000001</v>
      </c>
      <c r="H158">
        <v>3.205311</v>
      </c>
      <c r="I158" s="1" t="str">
        <f t="shared" si="14"/>
        <v>12,79125 1,007184</v>
      </c>
      <c r="J158" t="s">
        <v>167</v>
      </c>
    </row>
    <row r="160" spans="1:10">
      <c r="A160" t="s">
        <v>35</v>
      </c>
      <c r="B160" t="s">
        <v>36</v>
      </c>
      <c r="C160" t="s">
        <v>37</v>
      </c>
      <c r="D160" t="s">
        <v>168</v>
      </c>
      <c r="E160" s="12" t="s">
        <v>169</v>
      </c>
      <c r="F160" t="s">
        <v>5</v>
      </c>
      <c r="G160" t="s">
        <v>6</v>
      </c>
      <c r="H160" t="s">
        <v>7</v>
      </c>
    </row>
    <row r="161" spans="1:10" ht="15.75">
      <c r="A161">
        <v>1</v>
      </c>
      <c r="B161" t="s">
        <v>10</v>
      </c>
      <c r="C161" t="s">
        <v>11</v>
      </c>
      <c r="D161">
        <v>4</v>
      </c>
      <c r="E161">
        <v>1.093</v>
      </c>
      <c r="F161">
        <v>0.37117022</v>
      </c>
      <c r="G161">
        <v>0.18558511</v>
      </c>
      <c r="H161">
        <v>0.59061465000000002</v>
      </c>
      <c r="I161" s="1" t="str">
        <f>E161&amp;" "&amp;G161</f>
        <v>1,093 0,18558511</v>
      </c>
      <c r="J161" t="s">
        <v>170</v>
      </c>
    </row>
    <row r="162" spans="1:10" ht="15.75">
      <c r="A162">
        <v>2</v>
      </c>
      <c r="B162" t="s">
        <v>10</v>
      </c>
      <c r="C162" t="s">
        <v>19</v>
      </c>
      <c r="D162">
        <v>4</v>
      </c>
      <c r="E162">
        <v>1.7745</v>
      </c>
      <c r="F162">
        <v>0.64120173999999996</v>
      </c>
      <c r="G162">
        <v>0.32060086999999998</v>
      </c>
      <c r="H162">
        <v>1.0202950500000001</v>
      </c>
      <c r="I162" s="1" t="str">
        <f t="shared" ref="I162:I168" si="15">E162&amp;" "&amp;G162</f>
        <v>1,7745 0,32060087</v>
      </c>
      <c r="J162" t="s">
        <v>171</v>
      </c>
    </row>
    <row r="163" spans="1:10" ht="15.75">
      <c r="A163">
        <v>3</v>
      </c>
      <c r="B163" t="s">
        <v>10</v>
      </c>
      <c r="C163" t="s">
        <v>22</v>
      </c>
      <c r="D163">
        <v>4</v>
      </c>
      <c r="E163">
        <v>1.4617500000000001</v>
      </c>
      <c r="F163">
        <v>0.68692909999999996</v>
      </c>
      <c r="G163">
        <v>0.34346454999999998</v>
      </c>
      <c r="H163">
        <v>1.0930574799999999</v>
      </c>
      <c r="I163" s="1" t="str">
        <f t="shared" si="15"/>
        <v>1,46175 0,34346455</v>
      </c>
      <c r="J163" t="s">
        <v>172</v>
      </c>
    </row>
    <row r="164" spans="1:10" ht="15.75">
      <c r="A164">
        <v>4</v>
      </c>
      <c r="B164" t="s">
        <v>10</v>
      </c>
      <c r="C164" t="s">
        <v>25</v>
      </c>
      <c r="D164">
        <v>4</v>
      </c>
      <c r="E164">
        <v>2.7774999999999999</v>
      </c>
      <c r="F164">
        <v>1.3959738500000001</v>
      </c>
      <c r="G164">
        <v>0.69798693000000001</v>
      </c>
      <c r="H164">
        <v>2.2213059199999998</v>
      </c>
      <c r="I164" s="1" t="str">
        <f t="shared" si="15"/>
        <v>2,7775 0,69798693</v>
      </c>
      <c r="J164" t="s">
        <v>173</v>
      </c>
    </row>
    <row r="165" spans="1:10" ht="15.75">
      <c r="A165">
        <v>5</v>
      </c>
      <c r="B165" t="s">
        <v>28</v>
      </c>
      <c r="C165" t="s">
        <v>11</v>
      </c>
      <c r="D165">
        <v>4</v>
      </c>
      <c r="E165">
        <v>0.46425</v>
      </c>
      <c r="F165">
        <v>5.637006E-2</v>
      </c>
      <c r="G165">
        <v>2.818503E-2</v>
      </c>
      <c r="H165">
        <v>8.969734E-2</v>
      </c>
      <c r="I165" s="1" t="str">
        <f t="shared" si="15"/>
        <v>0,46425 0,02818503</v>
      </c>
      <c r="J165" t="s">
        <v>174</v>
      </c>
    </row>
    <row r="166" spans="1:10" ht="15.75">
      <c r="A166">
        <v>6</v>
      </c>
      <c r="B166" t="s">
        <v>28</v>
      </c>
      <c r="C166" t="s">
        <v>19</v>
      </c>
      <c r="D166">
        <v>4</v>
      </c>
      <c r="E166">
        <v>0.5575</v>
      </c>
      <c r="F166">
        <v>0.22808550999999999</v>
      </c>
      <c r="G166">
        <v>0.11404276000000001</v>
      </c>
      <c r="H166">
        <v>0.36293493999999998</v>
      </c>
      <c r="I166" s="1" t="str">
        <f t="shared" si="15"/>
        <v>0,5575 0,11404276</v>
      </c>
      <c r="J166" t="s">
        <v>175</v>
      </c>
    </row>
    <row r="167" spans="1:10" ht="15.75">
      <c r="A167">
        <v>7</v>
      </c>
      <c r="B167" t="s">
        <v>28</v>
      </c>
      <c r="C167" t="s">
        <v>22</v>
      </c>
      <c r="D167">
        <v>4</v>
      </c>
      <c r="E167">
        <v>0.52475000000000005</v>
      </c>
      <c r="F167">
        <v>0.13283417</v>
      </c>
      <c r="G167">
        <v>6.6417080000000003E-2</v>
      </c>
      <c r="H167">
        <v>0.21136880999999999</v>
      </c>
      <c r="I167" s="1" t="str">
        <f t="shared" si="15"/>
        <v>0,52475 0,06641708</v>
      </c>
      <c r="J167" t="s">
        <v>176</v>
      </c>
    </row>
    <row r="168" spans="1:10" ht="15.75">
      <c r="A168">
        <v>8</v>
      </c>
      <c r="B168" t="s">
        <v>28</v>
      </c>
      <c r="C168" t="s">
        <v>25</v>
      </c>
      <c r="D168">
        <v>4</v>
      </c>
      <c r="E168">
        <v>0.48925000000000002</v>
      </c>
      <c r="F168">
        <v>3.6881570000000002E-2</v>
      </c>
      <c r="G168">
        <v>1.844078E-2</v>
      </c>
      <c r="H168">
        <v>5.8686799999999997E-2</v>
      </c>
      <c r="I168" s="1" t="str">
        <f t="shared" si="15"/>
        <v>0,48925 0,01844078</v>
      </c>
      <c r="J168" t="s">
        <v>177</v>
      </c>
    </row>
  </sheetData>
  <mergeCells count="2">
    <mergeCell ref="P1:S1"/>
    <mergeCell ref="U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6D3C-A582-4E4E-871C-8C25FCBBFD1A}">
  <dimension ref="A1:J18"/>
  <sheetViews>
    <sheetView zoomScale="110" zoomScaleNormal="110" workbookViewId="0">
      <selection activeCell="B28" sqref="B28"/>
    </sheetView>
  </sheetViews>
  <sheetFormatPr defaultColWidth="11.42578125" defaultRowHeight="15"/>
  <cols>
    <col min="1" max="1" width="27.28515625" style="2" customWidth="1"/>
    <col min="2" max="2" width="16.28515625" style="2" customWidth="1"/>
    <col min="3" max="3" width="17.28515625" style="2" customWidth="1"/>
    <col min="4" max="4" width="18.42578125" style="2" customWidth="1"/>
    <col min="5" max="5" width="18" style="2" customWidth="1"/>
    <col min="6" max="6" width="2.140625" style="2" customWidth="1"/>
    <col min="7" max="7" width="19.85546875" style="2" customWidth="1"/>
    <col min="8" max="8" width="18.42578125" style="2" customWidth="1"/>
    <col min="9" max="9" width="16.85546875" style="2" customWidth="1"/>
    <col min="10" max="10" width="17.42578125" style="2" customWidth="1"/>
    <col min="11" max="16384" width="11.42578125" style="2"/>
  </cols>
  <sheetData>
    <row r="1" spans="1:10" ht="15.75">
      <c r="B1" s="9" t="s">
        <v>8</v>
      </c>
      <c r="C1" s="9"/>
      <c r="D1" s="9"/>
      <c r="E1" s="9"/>
      <c r="F1" s="8"/>
      <c r="G1" s="9" t="s">
        <v>9</v>
      </c>
      <c r="H1" s="9"/>
      <c r="I1" s="9"/>
      <c r="J1" s="9"/>
    </row>
    <row r="2" spans="1:10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/>
      <c r="G2" s="5" t="s">
        <v>15</v>
      </c>
      <c r="H2" s="5" t="s">
        <v>16</v>
      </c>
      <c r="I2" s="5" t="s">
        <v>17</v>
      </c>
      <c r="J2" s="5" t="s">
        <v>18</v>
      </c>
    </row>
    <row r="3" spans="1:10">
      <c r="A3" s="2" t="s">
        <v>178</v>
      </c>
      <c r="B3" s="3" t="s">
        <v>179</v>
      </c>
      <c r="C3" s="3" t="s">
        <v>180</v>
      </c>
      <c r="D3" s="3" t="s">
        <v>181</v>
      </c>
      <c r="E3" s="3" t="s">
        <v>182</v>
      </c>
      <c r="F3" s="3"/>
      <c r="G3" s="3" t="s">
        <v>183</v>
      </c>
      <c r="H3" s="3" t="s">
        <v>184</v>
      </c>
      <c r="I3" s="3" t="s">
        <v>185</v>
      </c>
      <c r="J3" s="3" t="s">
        <v>186</v>
      </c>
    </row>
    <row r="4" spans="1:10">
      <c r="A4" s="2" t="s">
        <v>187</v>
      </c>
      <c r="B4" s="3" t="s">
        <v>188</v>
      </c>
      <c r="C4" s="3" t="s">
        <v>189</v>
      </c>
      <c r="D4" s="3" t="s">
        <v>190</v>
      </c>
      <c r="E4" s="3" t="s">
        <v>191</v>
      </c>
      <c r="F4" s="3"/>
      <c r="G4" s="3" t="s">
        <v>192</v>
      </c>
      <c r="H4" s="3" t="s">
        <v>193</v>
      </c>
      <c r="I4" s="3" t="s">
        <v>194</v>
      </c>
      <c r="J4" s="3" t="s">
        <v>195</v>
      </c>
    </row>
    <row r="5" spans="1:10">
      <c r="A5" s="2" t="s">
        <v>196</v>
      </c>
      <c r="B5" s="3" t="s">
        <v>197</v>
      </c>
      <c r="C5" s="3" t="s">
        <v>198</v>
      </c>
      <c r="D5" s="3" t="s">
        <v>199</v>
      </c>
      <c r="E5" s="3" t="s">
        <v>200</v>
      </c>
      <c r="F5" s="3"/>
      <c r="G5" s="3" t="s">
        <v>201</v>
      </c>
      <c r="H5" s="3" t="s">
        <v>202</v>
      </c>
      <c r="I5" s="3" t="s">
        <v>203</v>
      </c>
      <c r="J5" s="3" t="s">
        <v>204</v>
      </c>
    </row>
    <row r="6" spans="1:10">
      <c r="A6" s="2" t="s">
        <v>159</v>
      </c>
      <c r="B6" s="3" t="s">
        <v>205</v>
      </c>
      <c r="C6" s="3" t="s">
        <v>206</v>
      </c>
      <c r="D6" s="3" t="s">
        <v>207</v>
      </c>
      <c r="E6" s="3" t="s">
        <v>208</v>
      </c>
      <c r="F6" s="3"/>
      <c r="G6" s="3" t="s">
        <v>209</v>
      </c>
      <c r="H6" s="3" t="s">
        <v>210</v>
      </c>
      <c r="I6" s="3" t="s">
        <v>211</v>
      </c>
      <c r="J6" s="3" t="s">
        <v>212</v>
      </c>
    </row>
    <row r="7" spans="1:10">
      <c r="A7" s="2" t="s">
        <v>213</v>
      </c>
      <c r="B7" s="3" t="s">
        <v>214</v>
      </c>
      <c r="C7" s="3" t="s">
        <v>215</v>
      </c>
      <c r="D7" s="3" t="s">
        <v>216</v>
      </c>
      <c r="E7" s="3" t="s">
        <v>217</v>
      </c>
      <c r="F7" s="3"/>
      <c r="G7" s="3" t="s">
        <v>218</v>
      </c>
      <c r="H7" s="3" t="s">
        <v>219</v>
      </c>
      <c r="I7" s="3" t="s">
        <v>220</v>
      </c>
      <c r="J7" s="3" t="s">
        <v>221</v>
      </c>
    </row>
    <row r="8" spans="1:10">
      <c r="A8" s="2" t="s">
        <v>58</v>
      </c>
      <c r="B8" s="3" t="s">
        <v>222</v>
      </c>
      <c r="C8" s="3" t="s">
        <v>223</v>
      </c>
      <c r="D8" s="3" t="s">
        <v>224</v>
      </c>
      <c r="E8" s="3" t="s">
        <v>225</v>
      </c>
      <c r="F8" s="3"/>
      <c r="G8" s="3" t="s">
        <v>226</v>
      </c>
      <c r="H8" s="3" t="s">
        <v>227</v>
      </c>
      <c r="I8" s="3" t="s">
        <v>228</v>
      </c>
      <c r="J8" s="3" t="s">
        <v>229</v>
      </c>
    </row>
    <row r="9" spans="1:10">
      <c r="A9" s="2" t="s">
        <v>230</v>
      </c>
      <c r="B9" s="3" t="s">
        <v>231</v>
      </c>
      <c r="C9" s="3" t="s">
        <v>232</v>
      </c>
      <c r="D9" s="3" t="s">
        <v>233</v>
      </c>
      <c r="E9" s="3" t="s">
        <v>234</v>
      </c>
      <c r="F9" s="3"/>
      <c r="G9" s="3" t="s">
        <v>235</v>
      </c>
      <c r="H9" s="3" t="s">
        <v>236</v>
      </c>
      <c r="I9" s="3" t="s">
        <v>237</v>
      </c>
      <c r="J9" s="3" t="s">
        <v>238</v>
      </c>
    </row>
    <row r="10" spans="1:10">
      <c r="A10" s="2" t="s">
        <v>77</v>
      </c>
      <c r="B10" s="3" t="s">
        <v>239</v>
      </c>
      <c r="C10" s="3" t="s">
        <v>239</v>
      </c>
      <c r="D10" s="3" t="s">
        <v>239</v>
      </c>
      <c r="E10" s="3" t="s">
        <v>239</v>
      </c>
      <c r="F10" s="3"/>
      <c r="G10" s="3" t="s">
        <v>240</v>
      </c>
      <c r="H10" s="3" t="s">
        <v>241</v>
      </c>
      <c r="I10" s="3" t="s">
        <v>242</v>
      </c>
      <c r="J10" s="3" t="s">
        <v>243</v>
      </c>
    </row>
    <row r="11" spans="1:10">
      <c r="A11" s="2" t="s">
        <v>244</v>
      </c>
      <c r="B11" s="3" t="s">
        <v>245</v>
      </c>
      <c r="C11" s="3" t="s">
        <v>246</v>
      </c>
      <c r="D11" s="3" t="s">
        <v>247</v>
      </c>
      <c r="E11" s="3" t="s">
        <v>248</v>
      </c>
      <c r="F11" s="3"/>
      <c r="G11" s="3" t="s">
        <v>249</v>
      </c>
      <c r="H11" s="3" t="s">
        <v>250</v>
      </c>
      <c r="I11" s="3" t="s">
        <v>251</v>
      </c>
      <c r="J11" s="3" t="s">
        <v>252</v>
      </c>
    </row>
    <row r="12" spans="1:10">
      <c r="A12" s="2" t="s">
        <v>253</v>
      </c>
      <c r="B12" s="3" t="s">
        <v>254</v>
      </c>
      <c r="C12" s="3" t="s">
        <v>255</v>
      </c>
      <c r="D12" s="3" t="s">
        <v>256</v>
      </c>
      <c r="E12" s="3" t="s">
        <v>257</v>
      </c>
      <c r="F12" s="3"/>
      <c r="G12" s="3" t="s">
        <v>258</v>
      </c>
      <c r="H12" s="3" t="s">
        <v>259</v>
      </c>
      <c r="I12" s="3" t="s">
        <v>260</v>
      </c>
      <c r="J12" s="3" t="s">
        <v>261</v>
      </c>
    </row>
    <row r="13" spans="1:10">
      <c r="A13" s="2" t="s">
        <v>262</v>
      </c>
      <c r="B13" s="3" t="s">
        <v>263</v>
      </c>
      <c r="C13" s="3" t="s">
        <v>264</v>
      </c>
      <c r="D13" s="3" t="s">
        <v>265</v>
      </c>
      <c r="E13" s="3" t="s">
        <v>266</v>
      </c>
      <c r="F13" s="3"/>
      <c r="G13" s="3" t="s">
        <v>267</v>
      </c>
      <c r="H13" s="3" t="s">
        <v>268</v>
      </c>
      <c r="I13" s="3" t="s">
        <v>269</v>
      </c>
      <c r="J13" s="3" t="s">
        <v>270</v>
      </c>
    </row>
    <row r="14" spans="1:10">
      <c r="A14" s="2" t="s">
        <v>271</v>
      </c>
      <c r="B14" s="3" t="s">
        <v>239</v>
      </c>
      <c r="C14" s="3" t="s">
        <v>239</v>
      </c>
      <c r="D14" s="3" t="s">
        <v>239</v>
      </c>
      <c r="E14" s="3" t="s">
        <v>239</v>
      </c>
      <c r="F14" s="3"/>
      <c r="G14" s="3" t="s">
        <v>272</v>
      </c>
      <c r="H14" s="3" t="s">
        <v>273</v>
      </c>
      <c r="I14" s="3" t="s">
        <v>274</v>
      </c>
      <c r="J14" s="3" t="s">
        <v>275</v>
      </c>
    </row>
    <row r="15" spans="1:10">
      <c r="A15" s="2" t="s">
        <v>276</v>
      </c>
      <c r="B15" s="3" t="s">
        <v>277</v>
      </c>
      <c r="C15" s="3" t="s">
        <v>278</v>
      </c>
      <c r="D15" s="3" t="s">
        <v>279</v>
      </c>
      <c r="E15" s="3" t="s">
        <v>280</v>
      </c>
      <c r="F15" s="3"/>
      <c r="G15" s="3" t="s">
        <v>281</v>
      </c>
      <c r="H15" s="3" t="s">
        <v>282</v>
      </c>
      <c r="I15" s="3" t="s">
        <v>283</v>
      </c>
      <c r="J15" s="3" t="s">
        <v>284</v>
      </c>
    </row>
    <row r="16" spans="1:10">
      <c r="A16" s="2" t="s">
        <v>285</v>
      </c>
      <c r="B16" s="3" t="s">
        <v>286</v>
      </c>
      <c r="C16" s="3" t="s">
        <v>287</v>
      </c>
      <c r="D16" s="3" t="s">
        <v>288</v>
      </c>
      <c r="E16" s="3" t="s">
        <v>289</v>
      </c>
      <c r="F16" s="3"/>
      <c r="G16" s="3" t="s">
        <v>290</v>
      </c>
      <c r="H16" s="3" t="s">
        <v>291</v>
      </c>
      <c r="I16" s="3" t="s">
        <v>292</v>
      </c>
      <c r="J16" s="3" t="s">
        <v>293</v>
      </c>
    </row>
    <row r="17" spans="1:10">
      <c r="A17" s="2" t="s">
        <v>294</v>
      </c>
      <c r="B17" s="3" t="s">
        <v>295</v>
      </c>
      <c r="C17" s="3" t="s">
        <v>296</v>
      </c>
      <c r="D17" s="3" t="s">
        <v>297</v>
      </c>
      <c r="E17" s="3" t="s">
        <v>298</v>
      </c>
      <c r="F17" s="3"/>
      <c r="G17" s="3" t="s">
        <v>299</v>
      </c>
      <c r="H17" s="3" t="s">
        <v>300</v>
      </c>
      <c r="I17" s="3" t="s">
        <v>301</v>
      </c>
      <c r="J17" s="3" t="s">
        <v>302</v>
      </c>
    </row>
    <row r="18" spans="1:10">
      <c r="A18" s="6" t="s">
        <v>303</v>
      </c>
      <c r="B18" s="7" t="s">
        <v>304</v>
      </c>
      <c r="C18" s="7" t="s">
        <v>305</v>
      </c>
      <c r="D18" s="7" t="s">
        <v>306</v>
      </c>
      <c r="E18" s="7" t="s">
        <v>307</v>
      </c>
      <c r="F18" s="7"/>
      <c r="G18" s="7" t="s">
        <v>308</v>
      </c>
      <c r="H18" s="7" t="s">
        <v>309</v>
      </c>
      <c r="I18" s="7" t="s">
        <v>310</v>
      </c>
      <c r="J18" s="7" t="s">
        <v>311</v>
      </c>
    </row>
  </sheetData>
  <mergeCells count="2">
    <mergeCell ref="B1:E1"/>
    <mergeCell ref="G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C77B66-7D30-424B-85A5-5080B3CB88AD}"/>
</file>

<file path=customXml/itemProps2.xml><?xml version="1.0" encoding="utf-8"?>
<ds:datastoreItem xmlns:ds="http://schemas.openxmlformats.org/officeDocument/2006/customXml" ds:itemID="{5604B484-3914-4046-8A48-2F34DB987754}"/>
</file>

<file path=customXml/itemProps3.xml><?xml version="1.0" encoding="utf-8"?>
<ds:datastoreItem xmlns:ds="http://schemas.openxmlformats.org/officeDocument/2006/customXml" ds:itemID="{03FA1475-6673-4D65-84AD-C0D9FFF3D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</dc:creator>
  <cp:keywords/>
  <dc:description/>
  <cp:lastModifiedBy>NANCY DONAJI SANCHEZ GARCIA</cp:lastModifiedBy>
  <cp:revision/>
  <dcterms:created xsi:type="dcterms:W3CDTF">2024-10-23T13:19:38Z</dcterms:created>
  <dcterms:modified xsi:type="dcterms:W3CDTF">2026-06-05T15:05:26Z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