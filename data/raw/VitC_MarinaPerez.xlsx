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ubarcelona-my.sharepoint.com/personal/marinaperez_ub_edu/Documents/HORTBIOSOL/Strawberry 2023/"/>
    </mc:Choice>
  </mc:AlternateContent>
  <xr:revisionPtr revIDLastSave="1" documentId="13_ncr:40009_{8BAB916D-27BD-4F20-87C9-DD056851BA27}" xr6:coauthVersionLast="47" xr6:coauthVersionMax="47" xr10:uidLastSave="{77CF22F8-7BFD-43C2-88C5-320E0DF5EBA1}"/>
  <bookViews>
    <workbookView xWindow="0" yWindow="0" windowWidth="9720" windowHeight="6630" firstSheet="1" activeTab="1" xr2:uid="{00000000-000D-0000-FFFF-FFFF00000000}"/>
  </bookViews>
  <sheets>
    <sheet name="Hoja1" sheetId="1" r:id="rId1"/>
    <sheet name="Hoja3" sheetId="3" r:id="rId2"/>
  </sheets>
  <definedNames>
    <definedName name="_xlnm._FilterDatabase" localSheetId="1" hidden="1">Hoja3!$A$1:$L$65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I3" i="3" s="1"/>
  <c r="K3" i="3" s="1"/>
  <c r="L3" i="3" s="1"/>
  <c r="F4" i="3"/>
  <c r="I4" i="3" s="1"/>
  <c r="K4" i="3" s="1"/>
  <c r="L4" i="3" s="1"/>
  <c r="F5" i="3"/>
  <c r="I5" i="3" s="1"/>
  <c r="K5" i="3" s="1"/>
  <c r="L5" i="3" s="1"/>
  <c r="F6" i="3"/>
  <c r="I6" i="3" s="1"/>
  <c r="K6" i="3" s="1"/>
  <c r="L6" i="3" s="1"/>
  <c r="F7" i="3"/>
  <c r="I7" i="3" s="1"/>
  <c r="K7" i="3" s="1"/>
  <c r="L7" i="3" s="1"/>
  <c r="F8" i="3"/>
  <c r="I8" i="3" s="1"/>
  <c r="K8" i="3" s="1"/>
  <c r="L8" i="3" s="1"/>
  <c r="F9" i="3"/>
  <c r="I9" i="3" s="1"/>
  <c r="K9" i="3" s="1"/>
  <c r="L9" i="3" s="1"/>
  <c r="F10" i="3"/>
  <c r="I10" i="3" s="1"/>
  <c r="K10" i="3" s="1"/>
  <c r="L10" i="3" s="1"/>
  <c r="F11" i="3"/>
  <c r="I11" i="3" s="1"/>
  <c r="K11" i="3" s="1"/>
  <c r="L11" i="3" s="1"/>
  <c r="F12" i="3"/>
  <c r="I12" i="3" s="1"/>
  <c r="K12" i="3" s="1"/>
  <c r="L12" i="3" s="1"/>
  <c r="F13" i="3"/>
  <c r="I13" i="3" s="1"/>
  <c r="K13" i="3" s="1"/>
  <c r="L13" i="3" s="1"/>
  <c r="F14" i="3"/>
  <c r="I14" i="3" s="1"/>
  <c r="K14" i="3" s="1"/>
  <c r="L14" i="3" s="1"/>
  <c r="F15" i="3"/>
  <c r="I15" i="3" s="1"/>
  <c r="K15" i="3" s="1"/>
  <c r="L15" i="3" s="1"/>
  <c r="F16" i="3"/>
  <c r="I16" i="3" s="1"/>
  <c r="K16" i="3" s="1"/>
  <c r="L16" i="3" s="1"/>
  <c r="F17" i="3"/>
  <c r="I17" i="3" s="1"/>
  <c r="K17" i="3" s="1"/>
  <c r="L17" i="3" s="1"/>
  <c r="F18" i="3"/>
  <c r="I18" i="3" s="1"/>
  <c r="K18" i="3" s="1"/>
  <c r="L18" i="3" s="1"/>
  <c r="F19" i="3"/>
  <c r="I19" i="3" s="1"/>
  <c r="K19" i="3" s="1"/>
  <c r="L19" i="3" s="1"/>
  <c r="F20" i="3"/>
  <c r="I20" i="3" s="1"/>
  <c r="K20" i="3" s="1"/>
  <c r="L20" i="3" s="1"/>
  <c r="F21" i="3"/>
  <c r="I21" i="3" s="1"/>
  <c r="K21" i="3" s="1"/>
  <c r="L21" i="3" s="1"/>
  <c r="F22" i="3"/>
  <c r="I22" i="3" s="1"/>
  <c r="K22" i="3" s="1"/>
  <c r="L22" i="3" s="1"/>
  <c r="F23" i="3"/>
  <c r="I23" i="3" s="1"/>
  <c r="K23" i="3" s="1"/>
  <c r="L23" i="3" s="1"/>
  <c r="F24" i="3"/>
  <c r="I24" i="3" s="1"/>
  <c r="K24" i="3" s="1"/>
  <c r="L24" i="3" s="1"/>
  <c r="F25" i="3"/>
  <c r="I25" i="3" s="1"/>
  <c r="K25" i="3" s="1"/>
  <c r="L25" i="3" s="1"/>
  <c r="F26" i="3"/>
  <c r="I26" i="3" s="1"/>
  <c r="K26" i="3" s="1"/>
  <c r="L26" i="3" s="1"/>
  <c r="F27" i="3"/>
  <c r="I27" i="3" s="1"/>
  <c r="K27" i="3" s="1"/>
  <c r="L27" i="3" s="1"/>
  <c r="F28" i="3"/>
  <c r="I28" i="3" s="1"/>
  <c r="K28" i="3" s="1"/>
  <c r="L28" i="3" s="1"/>
  <c r="F29" i="3"/>
  <c r="I29" i="3" s="1"/>
  <c r="K29" i="3" s="1"/>
  <c r="L29" i="3" s="1"/>
  <c r="F30" i="3"/>
  <c r="I30" i="3" s="1"/>
  <c r="K30" i="3" s="1"/>
  <c r="L30" i="3" s="1"/>
  <c r="F31" i="3"/>
  <c r="I31" i="3" s="1"/>
  <c r="K31" i="3" s="1"/>
  <c r="L31" i="3" s="1"/>
  <c r="F32" i="3"/>
  <c r="I32" i="3" s="1"/>
  <c r="K32" i="3" s="1"/>
  <c r="L32" i="3" s="1"/>
  <c r="F33" i="3"/>
  <c r="I33" i="3" s="1"/>
  <c r="K33" i="3" s="1"/>
  <c r="L33" i="3" s="1"/>
  <c r="F34" i="3"/>
  <c r="I34" i="3" s="1"/>
  <c r="K34" i="3" s="1"/>
  <c r="L34" i="3" s="1"/>
  <c r="F35" i="3"/>
  <c r="I35" i="3" s="1"/>
  <c r="K35" i="3" s="1"/>
  <c r="L35" i="3" s="1"/>
  <c r="F36" i="3"/>
  <c r="I36" i="3" s="1"/>
  <c r="K36" i="3" s="1"/>
  <c r="L36" i="3" s="1"/>
  <c r="F37" i="3"/>
  <c r="I37" i="3" s="1"/>
  <c r="K37" i="3" s="1"/>
  <c r="L37" i="3" s="1"/>
  <c r="F38" i="3"/>
  <c r="I38" i="3" s="1"/>
  <c r="K38" i="3" s="1"/>
  <c r="L38" i="3" s="1"/>
  <c r="F39" i="3"/>
  <c r="I39" i="3" s="1"/>
  <c r="K39" i="3" s="1"/>
  <c r="L39" i="3" s="1"/>
  <c r="F40" i="3"/>
  <c r="I40" i="3" s="1"/>
  <c r="K40" i="3" s="1"/>
  <c r="L40" i="3" s="1"/>
  <c r="F41" i="3"/>
  <c r="I41" i="3" s="1"/>
  <c r="K41" i="3" s="1"/>
  <c r="L41" i="3" s="1"/>
  <c r="F42" i="3"/>
  <c r="I42" i="3" s="1"/>
  <c r="K42" i="3" s="1"/>
  <c r="L42" i="3" s="1"/>
  <c r="F43" i="3"/>
  <c r="I43" i="3" s="1"/>
  <c r="K43" i="3" s="1"/>
  <c r="L43" i="3" s="1"/>
  <c r="F44" i="3"/>
  <c r="I44" i="3" s="1"/>
  <c r="K44" i="3" s="1"/>
  <c r="L44" i="3" s="1"/>
  <c r="F45" i="3"/>
  <c r="I45" i="3" s="1"/>
  <c r="K45" i="3" s="1"/>
  <c r="L45" i="3" s="1"/>
  <c r="F46" i="3"/>
  <c r="I46" i="3" s="1"/>
  <c r="K46" i="3" s="1"/>
  <c r="L46" i="3" s="1"/>
  <c r="F47" i="3"/>
  <c r="I47" i="3" s="1"/>
  <c r="K47" i="3" s="1"/>
  <c r="L47" i="3" s="1"/>
  <c r="F48" i="3"/>
  <c r="I48" i="3" s="1"/>
  <c r="K48" i="3" s="1"/>
  <c r="L48" i="3" s="1"/>
  <c r="F49" i="3"/>
  <c r="I49" i="3" s="1"/>
  <c r="K49" i="3" s="1"/>
  <c r="L49" i="3" s="1"/>
  <c r="F50" i="3"/>
  <c r="I50" i="3" s="1"/>
  <c r="K50" i="3" s="1"/>
  <c r="L50" i="3" s="1"/>
  <c r="F51" i="3"/>
  <c r="I51" i="3" s="1"/>
  <c r="K51" i="3" s="1"/>
  <c r="L51" i="3" s="1"/>
  <c r="F52" i="3"/>
  <c r="I52" i="3" s="1"/>
  <c r="K52" i="3" s="1"/>
  <c r="L52" i="3" s="1"/>
  <c r="F53" i="3"/>
  <c r="I53" i="3" s="1"/>
  <c r="K53" i="3" s="1"/>
  <c r="L53" i="3" s="1"/>
  <c r="F54" i="3"/>
  <c r="I54" i="3" s="1"/>
  <c r="K54" i="3" s="1"/>
  <c r="L54" i="3" s="1"/>
  <c r="F55" i="3"/>
  <c r="I55" i="3" s="1"/>
  <c r="K55" i="3" s="1"/>
  <c r="L55" i="3" s="1"/>
  <c r="F56" i="3"/>
  <c r="I56" i="3" s="1"/>
  <c r="K56" i="3" s="1"/>
  <c r="L56" i="3" s="1"/>
  <c r="F57" i="3"/>
  <c r="I57" i="3" s="1"/>
  <c r="K57" i="3" s="1"/>
  <c r="L57" i="3" s="1"/>
  <c r="F58" i="3"/>
  <c r="I58" i="3" s="1"/>
  <c r="K58" i="3" s="1"/>
  <c r="L58" i="3" s="1"/>
  <c r="F59" i="3"/>
  <c r="I59" i="3" s="1"/>
  <c r="K59" i="3" s="1"/>
  <c r="L59" i="3" s="1"/>
  <c r="F60" i="3"/>
  <c r="I60" i="3" s="1"/>
  <c r="K60" i="3" s="1"/>
  <c r="L60" i="3" s="1"/>
  <c r="F61" i="3"/>
  <c r="I61" i="3" s="1"/>
  <c r="K61" i="3" s="1"/>
  <c r="L61" i="3" s="1"/>
  <c r="F62" i="3"/>
  <c r="I62" i="3" s="1"/>
  <c r="K62" i="3" s="1"/>
  <c r="L62" i="3" s="1"/>
  <c r="F63" i="3"/>
  <c r="I63" i="3" s="1"/>
  <c r="K63" i="3" s="1"/>
  <c r="L63" i="3" s="1"/>
  <c r="F64" i="3"/>
  <c r="I64" i="3" s="1"/>
  <c r="K64" i="3" s="1"/>
  <c r="L64" i="3" s="1"/>
  <c r="F65" i="3"/>
  <c r="I65" i="3" s="1"/>
  <c r="K65" i="3" s="1"/>
  <c r="L65" i="3" s="1"/>
  <c r="F2" i="3"/>
  <c r="I2" i="3" s="1"/>
  <c r="K2" i="3" s="1"/>
  <c r="L2" i="3" s="1"/>
  <c r="M2" i="3" s="1"/>
  <c r="M64" i="3" l="1"/>
  <c r="M62" i="3"/>
  <c r="M60" i="3"/>
  <c r="M58" i="3"/>
  <c r="M56" i="3"/>
  <c r="M54" i="3"/>
  <c r="M52" i="3"/>
  <c r="M50" i="3"/>
  <c r="M48" i="3"/>
  <c r="M46" i="3"/>
  <c r="M44" i="3"/>
  <c r="M42" i="3"/>
  <c r="M40" i="3"/>
  <c r="M38" i="3"/>
  <c r="Q9" i="3" s="1"/>
  <c r="M36" i="3"/>
  <c r="M34" i="3"/>
  <c r="Q8" i="3" s="1"/>
  <c r="M32" i="3"/>
  <c r="M30" i="3"/>
  <c r="M28" i="3"/>
  <c r="M26" i="3"/>
  <c r="M24" i="3"/>
  <c r="M22" i="3"/>
  <c r="M20" i="3"/>
  <c r="M18" i="3"/>
  <c r="M16" i="3"/>
  <c r="M14" i="3"/>
  <c r="M12" i="3"/>
  <c r="M10" i="3"/>
  <c r="M8" i="3"/>
  <c r="M6" i="3"/>
  <c r="M4" i="3"/>
  <c r="R6" i="3" s="1"/>
  <c r="Q6" i="3"/>
  <c r="R5" i="3" l="1"/>
  <c r="Q5" i="3"/>
  <c r="R7" i="3"/>
  <c r="Q7" i="3"/>
  <c r="R4" i="3"/>
  <c r="Q4" i="3"/>
  <c r="R8" i="3"/>
  <c r="R10" i="3"/>
  <c r="Q10" i="3"/>
  <c r="R11" i="3"/>
  <c r="Q11" i="3"/>
  <c r="R9" i="3"/>
  <c r="D6" i="1"/>
  <c r="E6" i="1"/>
  <c r="D7" i="1"/>
  <c r="E7" i="1" s="1"/>
  <c r="D8" i="1"/>
  <c r="E8" i="1"/>
  <c r="D9" i="1"/>
  <c r="E9" i="1" s="1"/>
  <c r="D10" i="1"/>
  <c r="E10" i="1" s="1"/>
  <c r="D11" i="1"/>
  <c r="E11" i="1"/>
  <c r="D12" i="1"/>
  <c r="E12" i="1"/>
  <c r="D13" i="1"/>
  <c r="E13" i="1" s="1"/>
  <c r="D14" i="1"/>
  <c r="E14" i="1"/>
  <c r="D15" i="1"/>
  <c r="E15" i="1"/>
  <c r="D16" i="1"/>
  <c r="E16" i="1" s="1"/>
  <c r="D17" i="1"/>
  <c r="E17" i="1"/>
  <c r="D18" i="1"/>
  <c r="E18" i="1"/>
  <c r="D19" i="1"/>
  <c r="E19" i="1" s="1"/>
  <c r="D20" i="1"/>
  <c r="E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marina</author>
  </authors>
  <commentList>
    <comment ref="J3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marina:</t>
        </r>
        <r>
          <rPr>
            <sz val="9"/>
            <color indexed="81"/>
            <rFont val="Tahoma"/>
            <family val="2"/>
          </rPr>
          <t xml:space="preserve">
dry weight something wrong. Better to remove this replicate. They are also the highest values</t>
        </r>
      </text>
    </comment>
  </commentList>
</comments>
</file>

<file path=xl/sharedStrings.xml><?xml version="1.0" encoding="utf-8"?>
<sst xmlns="http://schemas.openxmlformats.org/spreadsheetml/2006/main" count="225" uniqueCount="111">
  <si>
    <t>Conc</t>
  </si>
  <si>
    <t>area</t>
  </si>
  <si>
    <t>Calc conc</t>
  </si>
  <si>
    <t>error</t>
  </si>
  <si>
    <t>a</t>
  </si>
  <si>
    <t>b</t>
  </si>
  <si>
    <t>R^2</t>
  </si>
  <si>
    <t>Name</t>
  </si>
  <si>
    <t>Sample ID</t>
  </si>
  <si>
    <t>CV</t>
  </si>
  <si>
    <t>RT</t>
  </si>
  <si>
    <t>Area</t>
  </si>
  <si>
    <t>Conc (ppm=ug/ml)</t>
  </si>
  <si>
    <t>FW extract (g)</t>
  </si>
  <si>
    <t>Volume extract (ml)</t>
  </si>
  <si>
    <t>Vit C (ug/g FW)</t>
  </si>
  <si>
    <t>FW/DW</t>
  </si>
  <si>
    <t>Vit C (ug/g DW)</t>
  </si>
  <si>
    <t>Vit C (mg/ g DW)</t>
  </si>
  <si>
    <t>Mean repl</t>
  </si>
  <si>
    <t>M1</t>
  </si>
  <si>
    <t>T1R1</t>
  </si>
  <si>
    <t>DONA</t>
  </si>
  <si>
    <t>M2</t>
  </si>
  <si>
    <t>Treatment</t>
  </si>
  <si>
    <t>Vit C (mg/g DW)</t>
  </si>
  <si>
    <t>se</t>
  </si>
  <si>
    <t>M3</t>
  </si>
  <si>
    <t>T3R1</t>
  </si>
  <si>
    <t>CV DONA</t>
  </si>
  <si>
    <t>T1</t>
  </si>
  <si>
    <t>M4</t>
  </si>
  <si>
    <t>T2</t>
  </si>
  <si>
    <t>M5</t>
  </si>
  <si>
    <t>T2R2</t>
  </si>
  <si>
    <t>T3</t>
  </si>
  <si>
    <t>M6</t>
  </si>
  <si>
    <t>T4</t>
  </si>
  <si>
    <t>M7</t>
  </si>
  <si>
    <t>T4R2</t>
  </si>
  <si>
    <t>CV DREAM</t>
  </si>
  <si>
    <t>M8</t>
  </si>
  <si>
    <t>M9</t>
  </si>
  <si>
    <t>T3R3</t>
  </si>
  <si>
    <t>M10</t>
  </si>
  <si>
    <t>M11</t>
  </si>
  <si>
    <t>T1R3</t>
  </si>
  <si>
    <t>M12</t>
  </si>
  <si>
    <t>M13</t>
  </si>
  <si>
    <t>T4R4</t>
  </si>
  <si>
    <t>M14</t>
  </si>
  <si>
    <t>M15</t>
  </si>
  <si>
    <t>T2R4</t>
  </si>
  <si>
    <t>M16</t>
  </si>
  <si>
    <t>M17</t>
  </si>
  <si>
    <t>T3R4</t>
  </si>
  <si>
    <t>M18</t>
  </si>
  <si>
    <t>M19</t>
  </si>
  <si>
    <t>T1R4</t>
  </si>
  <si>
    <t>M20</t>
  </si>
  <si>
    <t>M21</t>
  </si>
  <si>
    <t>T2R3</t>
  </si>
  <si>
    <t>M22</t>
  </si>
  <si>
    <t>M23</t>
  </si>
  <si>
    <t>T4R3</t>
  </si>
  <si>
    <t>M24</t>
  </si>
  <si>
    <t>M25</t>
  </si>
  <si>
    <t>T1R2</t>
  </si>
  <si>
    <t>M26</t>
  </si>
  <si>
    <t>M27</t>
  </si>
  <si>
    <t>T3R2</t>
  </si>
  <si>
    <t>M28</t>
  </si>
  <si>
    <t>M29</t>
  </si>
  <si>
    <t>T4R1</t>
  </si>
  <si>
    <t>M30</t>
  </si>
  <si>
    <t>M31</t>
  </si>
  <si>
    <t>T2R1</t>
  </si>
  <si>
    <t>M32</t>
  </si>
  <si>
    <t>M33</t>
  </si>
  <si>
    <t>DREAM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</si>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</sst>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0"/>
      <name val="Arial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vertical="center" wrapText="1"/>
    </xf>
    <xf numFmtId="164" fontId="0" fillId="0" borderId="0" xfId="0" applyNumberFormat="1"/>
    <xf numFmtId="0" fontId="2" fillId="0" borderId="0" xfId="0" applyFont="1"/>
    <xf numFmtId="0" fontId="6" fillId="0" borderId="0" xfId="0" applyFont="1"/>
    <xf numFmtId="0" fontId="6" fillId="0" borderId="3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2" borderId="2" xfId="0" applyFill="1" applyBorder="1"/>
    <xf numFmtId="0" fontId="6" fillId="2" borderId="2" xfId="0" applyFont="1" applyFill="1" applyBorder="1" applyAlignment="1">
      <alignment vertical="center"/>
    </xf>
    <xf numFmtId="164" fontId="0" fillId="2" borderId="2" xfId="0" applyNumberFormat="1" applyFill="1" applyBorder="1"/>
    <xf numFmtId="0" fontId="0" fillId="4" borderId="2" xfId="0" applyFill="1" applyBorder="1"/>
    <xf numFmtId="0" fontId="0" fillId="4" borderId="2" xfId="0" applyFill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164" fontId="0" fillId="4" borderId="2" xfId="0" applyNumberFormat="1" applyFill="1" applyBorder="1"/>
    <xf numFmtId="0" fontId="0" fillId="3" borderId="2" xfId="0" applyFill="1" applyBorder="1"/>
    <xf numFmtId="0" fontId="0" fillId="3" borderId="2" xfId="0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164" fontId="0" fillId="3" borderId="2" xfId="0" applyNumberFormat="1" applyFill="1" applyBorder="1"/>
    <xf numFmtId="0" fontId="0" fillId="5" borderId="2" xfId="0" applyFill="1" applyBorder="1"/>
    <xf numFmtId="0" fontId="0" fillId="5" borderId="2" xfId="0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164" fontId="0" fillId="5" borderId="2" xfId="0" applyNumberFormat="1" applyFill="1" applyBorder="1"/>
    <xf numFmtId="164" fontId="3" fillId="5" borderId="2" xfId="0" applyNumberFormat="1" applyFont="1" applyFill="1" applyBorder="1"/>
    <xf numFmtId="164" fontId="0" fillId="0" borderId="3" xfId="0" applyNumberFormat="1" applyBorder="1"/>
    <xf numFmtId="164" fontId="0" fillId="2" borderId="2" xfId="0" applyNumberFormat="1" applyFill="1" applyBorder="1" applyAlignment="1">
      <alignment horizontal="center"/>
    </xf>
    <xf numFmtId="164" fontId="0" fillId="5" borderId="2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71E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102207831758303"/>
          <c:y val="8.4145148326538369E-2"/>
          <c:w val="0.51272819674809333"/>
          <c:h val="0.77025174237369742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ES"/>
                </a:p>
              </c:txPr>
            </c:trendlineLbl>
          </c:trendline>
          <c:xVal>
            <c:numRef>
              <c:f>Hoja1!$B$6:$B$20</c:f>
              <c:numCache>
                <c:formatCode>General</c:formatCode>
                <c:ptCount val="15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</c:numCache>
            </c:numRef>
          </c:xVal>
          <c:yVal>
            <c:numRef>
              <c:f>Hoja1!$C$6:$C$20</c:f>
              <c:numCache>
                <c:formatCode>General</c:formatCode>
                <c:ptCount val="15"/>
                <c:pt idx="0">
                  <c:v>57142</c:v>
                </c:pt>
                <c:pt idx="1">
                  <c:v>48913</c:v>
                </c:pt>
                <c:pt idx="2">
                  <c:v>58981</c:v>
                </c:pt>
                <c:pt idx="3">
                  <c:v>185656</c:v>
                </c:pt>
                <c:pt idx="4">
                  <c:v>170129</c:v>
                </c:pt>
                <c:pt idx="5">
                  <c:v>237700</c:v>
                </c:pt>
                <c:pt idx="6">
                  <c:v>424602</c:v>
                </c:pt>
                <c:pt idx="7">
                  <c:v>439939</c:v>
                </c:pt>
                <c:pt idx="8">
                  <c:v>454461</c:v>
                </c:pt>
                <c:pt idx="9">
                  <c:v>841895</c:v>
                </c:pt>
                <c:pt idx="10">
                  <c:v>856214</c:v>
                </c:pt>
                <c:pt idx="11">
                  <c:v>888884</c:v>
                </c:pt>
                <c:pt idx="12">
                  <c:v>1020167</c:v>
                </c:pt>
                <c:pt idx="13">
                  <c:v>1111040</c:v>
                </c:pt>
                <c:pt idx="14">
                  <c:v>1076259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4E-43EF-A318-EBC6C556E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5265327"/>
        <c:axId val="1"/>
      </c:scatterChart>
      <c:valAx>
        <c:axId val="8252653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825265327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612450620188239"/>
          <c:y val="0.40130763048041374"/>
          <c:w val="0.26695765615809813"/>
          <c:h val="0.139163129924659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Cv</a:t>
            </a:r>
            <a:r>
              <a:rPr lang="en-US" baseline="0"/>
              <a:t> DONA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Hoja3!$Q$3</c:f>
              <c:strCache>
                <c:ptCount val="1"/>
                <c:pt idx="0">
                  <c:v>Vit C (mg/g DW)</c:v>
                </c:pt>
              </c:strCache>
            </c:strRef>
          </c:tx>
          <c:spPr>
            <a:solidFill>
              <a:srgbClr val="871E09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Hoja3!$R$4:$R$7</c:f>
                <c:numCache>
                  <c:formatCode>0.000</c:formatCode>
                  <c:ptCount val="4"/>
                  <c:pt idx="0">
                    <c:v>0.25803261334435024</c:v>
                  </c:pt>
                  <c:pt idx="1">
                    <c:v>0.22405834402874378</c:v>
                  </c:pt>
                  <c:pt idx="2">
                    <c:v>0.58716079832732104</c:v>
                  </c:pt>
                  <c:pt idx="3">
                    <c:v>0.9626070724617074</c:v>
                  </c:pt>
                </c:numCache>
              </c:numRef>
            </c:plus>
            <c:minus>
              <c:numRef>
                <c:f>Hoja3!$R$4:$R$7</c:f>
                <c:numCache>
                  <c:formatCode>0.000</c:formatCode>
                  <c:ptCount val="4"/>
                  <c:pt idx="0">
                    <c:v>0.25803261334435024</c:v>
                  </c:pt>
                  <c:pt idx="1">
                    <c:v>0.22405834402874378</c:v>
                  </c:pt>
                  <c:pt idx="2">
                    <c:v>0.58716079832732104</c:v>
                  </c:pt>
                  <c:pt idx="3">
                    <c:v>0.9626070724617074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Hoja3!$P$4:$P$7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Hoja3!$Q$4:$Q$7</c:f>
              <c:numCache>
                <c:formatCode>0.000</c:formatCode>
                <c:ptCount val="4"/>
                <c:pt idx="0">
                  <c:v>1.9007886074749796</c:v>
                </c:pt>
                <c:pt idx="1">
                  <c:v>2.1699613845453145</c:v>
                </c:pt>
                <c:pt idx="2">
                  <c:v>2.7812666981968075</c:v>
                </c:pt>
                <c:pt idx="3">
                  <c:v>3.0778297064874423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F-46D7-927F-69BC5246D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7084623"/>
        <c:axId val="1106646079"/>
      </c:barChart>
      <c:catAx>
        <c:axId val="132708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6646079"/>
        <c:crosses val="autoZero"/>
        <c:auto val="1"/>
        <c:lblAlgn val="ctr"/>
        <c:lblOffset val="100"/>
        <c:noMultiLvlLbl val="0"/>
      </c:catAx>
      <c:valAx>
        <c:axId val="1106646079"/>
        <c:scaling>
          <c:orientation val="minMax"/>
          <c:max val="5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708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Cv</a:t>
            </a:r>
            <a:r>
              <a:rPr lang="en-US" baseline="0"/>
              <a:t> DREAM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Hoja3!$R$8:$R$11</c:f>
                <c:numCache>
                  <c:formatCode>0.000</c:formatCode>
                  <c:ptCount val="4"/>
                  <c:pt idx="0">
                    <c:v>0.12540597234393305</c:v>
                  </c:pt>
                  <c:pt idx="1">
                    <c:v>0.30935082767874261</c:v>
                  </c:pt>
                  <c:pt idx="2">
                    <c:v>0.29359292165469075</c:v>
                  </c:pt>
                  <c:pt idx="3">
                    <c:v>0.29596559164545877</c:v>
                  </c:pt>
                </c:numCache>
              </c:numRef>
            </c:plus>
            <c:minus>
              <c:numRef>
                <c:f>Hoja3!$R$8:$R$11</c:f>
                <c:numCache>
                  <c:formatCode>0.000</c:formatCode>
                  <c:ptCount val="4"/>
                  <c:pt idx="0">
                    <c:v>0.12540597234393305</c:v>
                  </c:pt>
                  <c:pt idx="1">
                    <c:v>0.30935082767874261</c:v>
                  </c:pt>
                  <c:pt idx="2">
                    <c:v>0.29359292165469075</c:v>
                  </c:pt>
                  <c:pt idx="3">
                    <c:v>0.29596559164545877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Hoja3!$P$8:$P$11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Hoja3!$Q$8:$Q$11</c:f>
              <c:numCache>
                <c:formatCode>0.000</c:formatCode>
                <c:ptCount val="4"/>
                <c:pt idx="0">
                  <c:v>2.4039629343765663</c:v>
                </c:pt>
                <c:pt idx="1">
                  <c:v>2.911122797705882</c:v>
                </c:pt>
                <c:pt idx="2">
                  <c:v>2.3734314680307795</c:v>
                </c:pt>
                <c:pt idx="3">
                  <c:v>2.6241921759389184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54-4F44-97AF-4F766FCDF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7084623"/>
        <c:axId val="1106646079"/>
      </c:barChart>
      <c:catAx>
        <c:axId val="132708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6646079"/>
        <c:crosses val="autoZero"/>
        <c:auto val="1"/>
        <c:lblAlgn val="ctr"/>
        <c:lblOffset val="100"/>
        <c:noMultiLvlLbl val="0"/>
      </c:catAx>
      <c:valAx>
        <c:axId val="1106646079"/>
        <c:scaling>
          <c:orientation val="minMax"/>
          <c:max val="5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708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742950</xdr:colOff>
      <xdr:row>6</xdr:row>
      <xdr:rowOff>142875</xdr:rowOff>
    </xdr:from>
    <xdr:to>
      <xdr:col>11</xdr:col>
      <xdr:colOff>666750</xdr:colOff>
      <xdr:row>25</xdr:row>
      <xdr:rowOff>9525</xdr:rowOff>
    </xdr:to>
    <xdr:graphicFrame macro="">
      <xdr:nvGraphicFramePr>
        <xdr:cNvPr id="1025" name="Gráfico 1">
          <a:extLst>
            <a:ext uri="{FF2B5EF4-FFF2-40B4-BE49-F238E27FC236}">
              <a16:creationId xmlns:a16="http://schemas.microsoft.com/office/drawing/2014/main" id="{1BD160B0-40D6-4C97-846C-5330AC9EC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317500</xdr:colOff>
      <xdr:row>1</xdr:row>
      <xdr:rowOff>137583</xdr:rowOff>
    </xdr:from>
    <xdr:to>
      <xdr:col>22</xdr:col>
      <xdr:colOff>148167</xdr:colOff>
      <xdr:row>15</xdr:row>
      <xdr:rowOff>75141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79A262-AEC1-4D44-92B0-E0AB55CA4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306916</xdr:colOff>
      <xdr:row>15</xdr:row>
      <xdr:rowOff>127000</xdr:rowOff>
    </xdr:from>
    <xdr:to>
      <xdr:col>22</xdr:col>
      <xdr:colOff>137583</xdr:colOff>
      <xdr:row>29</xdr:row>
      <xdr:rowOff>64558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4A8F930-8EE4-4C05-99C2-6825C97E1D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4"/>
  <sheetViews>
    <sheetView workbookViewId="0">
      <selection activeCell="F3" sqref="F3"/>
    </sheetView>
  </sheetViews>
  <sheetFormatPr defaultColWidth="11.42578125" defaultRowHeight="12.75"/>
  <sheetData>
    <row r="2" spans="2:5">
      <c r="B2" t="s">
        <v>0</v>
      </c>
      <c r="C2" t="s">
        <v>1</v>
      </c>
      <c r="D2" t="s">
        <v>2</v>
      </c>
      <c r="E2" t="s">
        <v>3</v>
      </c>
    </row>
    <row r="3" spans="2:5">
      <c r="B3">
        <v>1</v>
      </c>
    </row>
    <row r="4" spans="2:5">
      <c r="B4">
        <v>1</v>
      </c>
    </row>
    <row r="5" spans="2:5">
      <c r="B5">
        <v>1</v>
      </c>
    </row>
    <row r="6" spans="2:5">
      <c r="B6">
        <v>2.5</v>
      </c>
      <c r="C6">
        <v>57142</v>
      </c>
      <c r="D6">
        <f>(C6-C$23)/C$22</f>
        <v>2.6990275067140401</v>
      </c>
      <c r="E6">
        <f>B6/D6*100</f>
        <v>92.625954858965173</v>
      </c>
    </row>
    <row r="7" spans="2:5">
      <c r="B7">
        <v>2.5</v>
      </c>
      <c r="C7">
        <v>48913</v>
      </c>
      <c r="D7">
        <f t="shared" ref="D7:D20" si="0">(C7-C$23)/C$22</f>
        <v>2.5617608300388666</v>
      </c>
      <c r="E7">
        <f t="shared" ref="E7:E20" si="1">B7/D7*100</f>
        <v>97.589125834282925</v>
      </c>
    </row>
    <row r="8" spans="2:5">
      <c r="B8">
        <v>2.5</v>
      </c>
      <c r="C8">
        <v>58981</v>
      </c>
      <c r="D8">
        <f t="shared" si="0"/>
        <v>2.7297035813775041</v>
      </c>
      <c r="E8">
        <f t="shared" si="1"/>
        <v>91.585035717995893</v>
      </c>
    </row>
    <row r="9" spans="2:5">
      <c r="B9">
        <v>5</v>
      </c>
      <c r="C9">
        <v>185656</v>
      </c>
      <c r="D9">
        <f t="shared" si="0"/>
        <v>4.842749670553304</v>
      </c>
      <c r="E9">
        <f t="shared" si="1"/>
        <v>103.24712901025772</v>
      </c>
    </row>
    <row r="10" spans="2:5">
      <c r="B10">
        <v>5</v>
      </c>
      <c r="C10">
        <v>170129</v>
      </c>
      <c r="D10">
        <f t="shared" si="0"/>
        <v>4.5837461842566185</v>
      </c>
      <c r="E10">
        <f t="shared" si="1"/>
        <v>109.08108344159741</v>
      </c>
    </row>
    <row r="11" spans="2:5">
      <c r="B11">
        <v>5</v>
      </c>
      <c r="C11">
        <v>237700</v>
      </c>
      <c r="D11">
        <f t="shared" si="0"/>
        <v>5.710887587782949</v>
      </c>
      <c r="E11">
        <f t="shared" si="1"/>
        <v>87.55206477354379</v>
      </c>
    </row>
    <row r="12" spans="2:5">
      <c r="B12">
        <v>10</v>
      </c>
      <c r="C12">
        <v>424602</v>
      </c>
      <c r="D12">
        <f t="shared" si="0"/>
        <v>8.8285709519758466</v>
      </c>
      <c r="E12">
        <f t="shared" si="1"/>
        <v>113.26861452885515</v>
      </c>
    </row>
    <row r="13" spans="2:5">
      <c r="B13">
        <v>10</v>
      </c>
      <c r="C13">
        <v>439939</v>
      </c>
      <c r="D13">
        <f t="shared" si="0"/>
        <v>9.0844050776493361</v>
      </c>
      <c r="E13">
        <f t="shared" si="1"/>
        <v>110.0787549049671</v>
      </c>
    </row>
    <row r="14" spans="2:5">
      <c r="B14">
        <v>10</v>
      </c>
      <c r="C14">
        <v>454461</v>
      </c>
      <c r="D14">
        <f t="shared" si="0"/>
        <v>9.3266443143338513</v>
      </c>
      <c r="E14">
        <f t="shared" si="1"/>
        <v>107.21969942213072</v>
      </c>
    </row>
    <row r="15" spans="2:5">
      <c r="B15">
        <v>15</v>
      </c>
      <c r="C15">
        <v>841895</v>
      </c>
      <c r="D15">
        <f t="shared" si="0"/>
        <v>15.789370965320522</v>
      </c>
      <c r="E15">
        <f t="shared" si="1"/>
        <v>95.000618029342135</v>
      </c>
    </row>
    <row r="16" spans="2:5">
      <c r="B16">
        <v>15</v>
      </c>
      <c r="C16">
        <v>856214</v>
      </c>
      <c r="D16">
        <f t="shared" si="0"/>
        <v>16.028223990391833</v>
      </c>
      <c r="E16">
        <f t="shared" si="1"/>
        <v>93.584916263909179</v>
      </c>
    </row>
    <row r="17" spans="2:5">
      <c r="B17">
        <v>15</v>
      </c>
      <c r="C17">
        <v>888884</v>
      </c>
      <c r="D17">
        <f t="shared" si="0"/>
        <v>16.573187209127759</v>
      </c>
      <c r="E17">
        <f t="shared" si="1"/>
        <v>90.507636284580684</v>
      </c>
    </row>
    <row r="18" spans="2:5">
      <c r="B18">
        <v>20</v>
      </c>
      <c r="C18">
        <v>1020167</v>
      </c>
      <c r="D18">
        <f t="shared" si="0"/>
        <v>18.763098633838762</v>
      </c>
      <c r="E18">
        <f t="shared" si="1"/>
        <v>106.59220201470625</v>
      </c>
    </row>
    <row r="19" spans="2:5">
      <c r="B19">
        <v>20</v>
      </c>
      <c r="C19">
        <v>1111040</v>
      </c>
      <c r="D19">
        <f t="shared" si="0"/>
        <v>20.278937096532051</v>
      </c>
      <c r="E19">
        <f t="shared" si="1"/>
        <v>98.624498437939565</v>
      </c>
    </row>
    <row r="20" spans="2:5">
      <c r="B20">
        <v>20</v>
      </c>
      <c r="C20">
        <v>1076259</v>
      </c>
      <c r="D20">
        <f t="shared" si="0"/>
        <v>19.698760613187876</v>
      </c>
      <c r="E20">
        <f t="shared" si="1"/>
        <v>101.52923015172057</v>
      </c>
    </row>
    <row r="22" spans="2:5">
      <c r="B22" t="s">
        <v>4</v>
      </c>
      <c r="C22">
        <v>59949</v>
      </c>
    </row>
    <row r="23" spans="2:5">
      <c r="B23" t="s">
        <v>5</v>
      </c>
      <c r="C23">
        <v>-104662</v>
      </c>
    </row>
    <row r="24" spans="2:5">
      <c r="B24" t="s">
        <v>6</v>
      </c>
      <c r="C24">
        <v>0.98509999999999998</v>
      </c>
    </row>
  </sheetData>
  <pageMargins left="0.75" right="0.75" top="1" bottom="1" header="0" footer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5"/>
  <sheetViews>
    <sheetView tabSelected="1" topLeftCell="B1" zoomScale="60" zoomScaleNormal="60" workbookViewId="0">
      <selection activeCell="X8" sqref="X8"/>
    </sheetView>
  </sheetViews>
  <sheetFormatPr defaultColWidth="11.42578125" defaultRowHeight="12.75"/>
  <cols>
    <col min="4" max="4" width="7" customWidth="1"/>
    <col min="5" max="5" width="12.5703125" bestFit="1" customWidth="1"/>
    <col min="6" max="6" width="18" customWidth="1"/>
    <col min="7" max="7" width="12.85546875" customWidth="1"/>
    <col min="8" max="8" width="19.140625" customWidth="1"/>
    <col min="9" max="9" width="16.5703125" customWidth="1"/>
    <col min="11" max="11" width="14.140625" customWidth="1"/>
    <col min="12" max="12" width="16.28515625" customWidth="1"/>
    <col min="13" max="13" width="12.28515625" customWidth="1"/>
    <col min="17" max="17" width="17.5703125" customWidth="1"/>
    <col min="18" max="18" width="12.7109375" bestFit="1" customWidth="1"/>
  </cols>
  <sheetData>
    <row r="1" spans="1:18" s="3" customFormat="1">
      <c r="A1" s="3" t="s">
        <v>7</v>
      </c>
      <c r="B1" s="1" t="s">
        <v>8</v>
      </c>
      <c r="C1" s="9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</row>
    <row r="2" spans="1:18">
      <c r="A2" s="10" t="s">
        <v>20</v>
      </c>
      <c r="B2" s="8" t="s">
        <v>21</v>
      </c>
      <c r="C2" s="11" t="s">
        <v>22</v>
      </c>
      <c r="D2" s="12">
        <v>1.905</v>
      </c>
      <c r="E2" s="12">
        <v>326019.59508268017</v>
      </c>
      <c r="F2" s="12">
        <f>(E2+104662)/59949</f>
        <v>7.1841330978445042</v>
      </c>
      <c r="G2" s="10">
        <v>0.41399999999999998</v>
      </c>
      <c r="H2" s="10">
        <v>10</v>
      </c>
      <c r="I2" s="12">
        <f>F2*H2/G2</f>
        <v>173.52978497208949</v>
      </c>
      <c r="J2" s="12">
        <v>6.8095238095238093</v>
      </c>
      <c r="K2" s="12">
        <f>I2*J2</f>
        <v>1181.6552024289904</v>
      </c>
      <c r="L2" s="12">
        <f>K2/1000</f>
        <v>1.1816552024289904</v>
      </c>
      <c r="M2" s="27">
        <f>AVERAGE(L2:L3)</f>
        <v>1.3869259606988684</v>
      </c>
    </row>
    <row r="3" spans="1:18">
      <c r="A3" s="10" t="s">
        <v>23</v>
      </c>
      <c r="B3" s="8" t="s">
        <v>21</v>
      </c>
      <c r="C3" s="11" t="s">
        <v>22</v>
      </c>
      <c r="D3" s="12">
        <v>1.7916666666666667</v>
      </c>
      <c r="E3" s="12">
        <v>429394.12548584933</v>
      </c>
      <c r="F3" s="12">
        <f t="shared" ref="F3:F65" si="0">(E3+104662)/59949</f>
        <v>8.9085076562719863</v>
      </c>
      <c r="G3" s="10">
        <v>0.38100000000000001</v>
      </c>
      <c r="H3" s="10">
        <v>10</v>
      </c>
      <c r="I3" s="12">
        <f t="shared" ref="I3:I65" si="1">F3*H3/G3</f>
        <v>233.81909858981592</v>
      </c>
      <c r="J3" s="12">
        <v>6.8095238095238093</v>
      </c>
      <c r="K3" s="12">
        <f t="shared" ref="K3:K65" si="2">I3*J3</f>
        <v>1592.1967189687464</v>
      </c>
      <c r="L3" s="12">
        <f t="shared" ref="L3:L65" si="3">K3/1000</f>
        <v>1.5921967189687465</v>
      </c>
      <c r="M3" s="27"/>
      <c r="P3" s="6" t="s">
        <v>24</v>
      </c>
      <c r="Q3" s="7" t="s">
        <v>25</v>
      </c>
      <c r="R3" s="6" t="s">
        <v>26</v>
      </c>
    </row>
    <row r="4" spans="1:18">
      <c r="A4" s="13" t="s">
        <v>27</v>
      </c>
      <c r="B4" s="14" t="s">
        <v>28</v>
      </c>
      <c r="C4" s="15" t="s">
        <v>22</v>
      </c>
      <c r="D4" s="16">
        <v>1.7233333333333334</v>
      </c>
      <c r="E4" s="16">
        <v>316914.79055130493</v>
      </c>
      <c r="F4" s="16">
        <f t="shared" si="0"/>
        <v>7.0322572611937639</v>
      </c>
      <c r="G4" s="13">
        <v>0.41399999999999998</v>
      </c>
      <c r="H4" s="13">
        <v>10</v>
      </c>
      <c r="I4" s="16">
        <f t="shared" si="1"/>
        <v>169.86128650226485</v>
      </c>
      <c r="J4" s="16">
        <v>5.9230769230769278</v>
      </c>
      <c r="K4" s="16">
        <f t="shared" si="2"/>
        <v>1006.1014662057233</v>
      </c>
      <c r="L4" s="16">
        <f t="shared" si="3"/>
        <v>1.0061014662057233</v>
      </c>
      <c r="M4" s="30">
        <f>AVERAGE(L4:L5)</f>
        <v>1.2366200654765778</v>
      </c>
      <c r="O4" s="31" t="s">
        <v>29</v>
      </c>
      <c r="P4" s="4" t="s">
        <v>30</v>
      </c>
      <c r="Q4" s="2">
        <f>AVERAGE(M2,M12,M20,M26)</f>
        <v>1.9007886074749796</v>
      </c>
      <c r="R4" s="2">
        <f>STDEV(M2,M12,M20,M26)/SQRT(4)</f>
        <v>0.25803261334435024</v>
      </c>
    </row>
    <row r="5" spans="1:18">
      <c r="A5" s="13" t="s">
        <v>31</v>
      </c>
      <c r="B5" s="14" t="s">
        <v>28</v>
      </c>
      <c r="C5" s="15" t="s">
        <v>22</v>
      </c>
      <c r="D5" s="16">
        <v>1.6258319025926085</v>
      </c>
      <c r="E5" s="16">
        <v>477430.22683475493</v>
      </c>
      <c r="F5" s="16">
        <f t="shared" si="0"/>
        <v>9.7097904357829972</v>
      </c>
      <c r="G5" s="13">
        <v>0.39200000000000002</v>
      </c>
      <c r="H5" s="13">
        <v>10</v>
      </c>
      <c r="I5" s="16">
        <f t="shared" si="1"/>
        <v>247.69873560670911</v>
      </c>
      <c r="J5" s="16">
        <v>5.9230769230769278</v>
      </c>
      <c r="K5" s="16">
        <f t="shared" si="2"/>
        <v>1467.1386647474321</v>
      </c>
      <c r="L5" s="16">
        <f t="shared" si="3"/>
        <v>1.467138664747432</v>
      </c>
      <c r="M5" s="30"/>
      <c r="O5" s="31"/>
      <c r="P5" s="4" t="s">
        <v>32</v>
      </c>
      <c r="Q5" s="2">
        <f>AVERAGE(M6,M16,M22,M32)</f>
        <v>2.1699613845453145</v>
      </c>
      <c r="R5" s="2">
        <f>STDEV(M6,M16,M22,M32)/SQRT(4)</f>
        <v>0.22405834402874378</v>
      </c>
    </row>
    <row r="6" spans="1:18">
      <c r="A6" s="17" t="s">
        <v>33</v>
      </c>
      <c r="B6" s="18" t="s">
        <v>34</v>
      </c>
      <c r="C6" s="19" t="s">
        <v>22</v>
      </c>
      <c r="D6" s="20">
        <v>1.6279647214835276</v>
      </c>
      <c r="E6" s="20">
        <v>517997.24686239671</v>
      </c>
      <c r="F6" s="20">
        <f t="shared" si="0"/>
        <v>10.386482624604191</v>
      </c>
      <c r="G6" s="17">
        <v>0.40200000000000002</v>
      </c>
      <c r="H6" s="17">
        <v>10</v>
      </c>
      <c r="I6" s="20">
        <f t="shared" si="1"/>
        <v>258.37021454239283</v>
      </c>
      <c r="J6" s="20">
        <v>7.4705882352941213</v>
      </c>
      <c r="K6" s="20">
        <f t="shared" si="2"/>
        <v>1930.177485110818</v>
      </c>
      <c r="L6" s="20">
        <f t="shared" si="3"/>
        <v>1.930177485110818</v>
      </c>
      <c r="M6" s="29">
        <f>AVERAGE(L6:L7)</f>
        <v>2.1435573463208111</v>
      </c>
      <c r="O6" s="31"/>
      <c r="P6" s="4" t="s">
        <v>35</v>
      </c>
      <c r="Q6" s="2">
        <f>AVERAGE(M4,M10,M18,M28)</f>
        <v>2.7812666981968075</v>
      </c>
      <c r="R6" s="2">
        <f>STDEV(M4,M10,M18,M28)/SQRT(4)</f>
        <v>0.58716079832732104</v>
      </c>
    </row>
    <row r="7" spans="1:18">
      <c r="A7" s="17" t="s">
        <v>36</v>
      </c>
      <c r="B7" s="18" t="s">
        <v>34</v>
      </c>
      <c r="C7" s="19" t="s">
        <v>22</v>
      </c>
      <c r="D7" s="20">
        <v>1.9491666666666667</v>
      </c>
      <c r="E7" s="20">
        <v>685928.22017102398</v>
      </c>
      <c r="F7" s="20">
        <f t="shared" si="0"/>
        <v>13.187713225758962</v>
      </c>
      <c r="G7" s="17">
        <v>0.41799999999999998</v>
      </c>
      <c r="H7" s="17">
        <v>10</v>
      </c>
      <c r="I7" s="20">
        <f t="shared" si="1"/>
        <v>315.49553171672159</v>
      </c>
      <c r="J7" s="20">
        <v>7.4705882352941213</v>
      </c>
      <c r="K7" s="20">
        <f t="shared" si="2"/>
        <v>2356.9372075308038</v>
      </c>
      <c r="L7" s="20">
        <f t="shared" si="3"/>
        <v>2.3569372075308039</v>
      </c>
      <c r="M7" s="29"/>
      <c r="O7" s="32"/>
      <c r="P7" s="5" t="s">
        <v>37</v>
      </c>
      <c r="Q7" s="26">
        <f>AVERAGE(M8,M14,M24)</f>
        <v>3.0778297064874423</v>
      </c>
      <c r="R7" s="26">
        <f>STDEV(M8,M14,M24)/SQRT(3)</f>
        <v>0.9626070724617074</v>
      </c>
    </row>
    <row r="8" spans="1:18">
      <c r="A8" s="21" t="s">
        <v>38</v>
      </c>
      <c r="B8" s="22" t="s">
        <v>39</v>
      </c>
      <c r="C8" s="23" t="s">
        <v>22</v>
      </c>
      <c r="D8" s="24">
        <v>1.8033333333333335</v>
      </c>
      <c r="E8" s="24">
        <v>578506.28771660337</v>
      </c>
      <c r="F8" s="24">
        <f t="shared" si="0"/>
        <v>11.395824579502634</v>
      </c>
      <c r="G8" s="21">
        <v>0.40500000000000003</v>
      </c>
      <c r="H8" s="21">
        <v>10</v>
      </c>
      <c r="I8" s="24">
        <f t="shared" si="1"/>
        <v>281.37838467907733</v>
      </c>
      <c r="J8" s="24">
        <v>9.6666666666666838</v>
      </c>
      <c r="K8" s="24">
        <f t="shared" si="2"/>
        <v>2719.9910518977522</v>
      </c>
      <c r="L8" s="24">
        <f t="shared" si="3"/>
        <v>2.7199910518977521</v>
      </c>
      <c r="M8" s="28">
        <f>AVERAGE(L8:L9)</f>
        <v>2.4309699198064818</v>
      </c>
      <c r="O8" s="33" t="s">
        <v>40</v>
      </c>
      <c r="P8" s="4" t="s">
        <v>30</v>
      </c>
      <c r="Q8" s="2">
        <f>AVERAGE(M34,M44,M52,M58)</f>
        <v>2.4039629343765663</v>
      </c>
      <c r="R8" s="2">
        <f>STDEV(M58,M52,M44,M34)/SQRT(4)</f>
        <v>0.12540597234393305</v>
      </c>
    </row>
    <row r="9" spans="1:18">
      <c r="A9" s="21" t="s">
        <v>41</v>
      </c>
      <c r="B9" s="22" t="s">
        <v>39</v>
      </c>
      <c r="C9" s="23" t="s">
        <v>22</v>
      </c>
      <c r="D9" s="24">
        <v>1.6968944062239686</v>
      </c>
      <c r="E9" s="24">
        <v>425351.80133125006</v>
      </c>
      <c r="F9" s="24">
        <f t="shared" si="0"/>
        <v>8.8410782720520782</v>
      </c>
      <c r="G9" s="21">
        <v>0.39900000000000002</v>
      </c>
      <c r="H9" s="21">
        <v>10</v>
      </c>
      <c r="I9" s="24">
        <f t="shared" si="1"/>
        <v>221.58090907398693</v>
      </c>
      <c r="J9" s="24">
        <v>9.6666666666666838</v>
      </c>
      <c r="K9" s="24">
        <f t="shared" si="2"/>
        <v>2141.948787715211</v>
      </c>
      <c r="L9" s="24">
        <f t="shared" si="3"/>
        <v>2.141948787715211</v>
      </c>
      <c r="M9" s="28"/>
      <c r="O9" s="31"/>
      <c r="P9" s="4" t="s">
        <v>32</v>
      </c>
      <c r="Q9" s="2">
        <f>AVERAGE(M38,M48,M54,M64)</f>
        <v>2.911122797705882</v>
      </c>
      <c r="R9" s="2">
        <f>STDEV(M64,M54,M48,M38)/SQRT(4)</f>
        <v>0.30935082767874261</v>
      </c>
    </row>
    <row r="10" spans="1:18">
      <c r="A10" s="13" t="s">
        <v>42</v>
      </c>
      <c r="B10" s="14" t="s">
        <v>43</v>
      </c>
      <c r="C10" s="15" t="s">
        <v>22</v>
      </c>
      <c r="D10" s="16">
        <v>1.6158333333333335</v>
      </c>
      <c r="E10" s="16">
        <v>442131.27558919601</v>
      </c>
      <c r="F10" s="16">
        <f t="shared" si="0"/>
        <v>9.1209740877945595</v>
      </c>
      <c r="G10" s="13">
        <v>0.41</v>
      </c>
      <c r="H10" s="13">
        <v>10</v>
      </c>
      <c r="I10" s="16">
        <f t="shared" si="1"/>
        <v>222.4627826291356</v>
      </c>
      <c r="J10" s="16">
        <v>11.222222222222237</v>
      </c>
      <c r="K10" s="16">
        <f t="shared" si="2"/>
        <v>2496.5267828380806</v>
      </c>
      <c r="L10" s="16">
        <f t="shared" si="3"/>
        <v>2.4965267828380808</v>
      </c>
      <c r="M10" s="30">
        <f>AVERAGE(L10:L11)</f>
        <v>2.5263186261408381</v>
      </c>
      <c r="O10" s="31"/>
      <c r="P10" s="4" t="s">
        <v>35</v>
      </c>
      <c r="Q10" s="2">
        <f>AVERAGE(M60,M50,M42,M36)</f>
        <v>2.3734314680307795</v>
      </c>
      <c r="R10" s="2">
        <f>STDEV(M60,M50,M42,M36)/SQRT(4)</f>
        <v>0.29359292165469075</v>
      </c>
    </row>
    <row r="11" spans="1:18">
      <c r="A11" s="13" t="s">
        <v>44</v>
      </c>
      <c r="B11" s="14" t="s">
        <v>43</v>
      </c>
      <c r="C11" s="15" t="s">
        <v>22</v>
      </c>
      <c r="D11" s="16">
        <v>1.6195520506868948</v>
      </c>
      <c r="E11" s="16">
        <v>438795.72942578013</v>
      </c>
      <c r="F11" s="16">
        <f t="shared" si="0"/>
        <v>9.0653343579672736</v>
      </c>
      <c r="G11" s="13">
        <v>0.39800000000000002</v>
      </c>
      <c r="H11" s="13">
        <v>10</v>
      </c>
      <c r="I11" s="16">
        <f t="shared" si="1"/>
        <v>227.77222004942897</v>
      </c>
      <c r="J11" s="16">
        <v>11.222222222222237</v>
      </c>
      <c r="K11" s="16">
        <f t="shared" si="2"/>
        <v>2556.1104694435953</v>
      </c>
      <c r="L11" s="16">
        <f t="shared" si="3"/>
        <v>2.5561104694435954</v>
      </c>
      <c r="M11" s="30"/>
      <c r="O11" s="31"/>
      <c r="P11" s="4" t="s">
        <v>37</v>
      </c>
      <c r="Q11" s="2">
        <f>AVERAGE(M62,M56,M46,M40)</f>
        <v>2.6241921759389184</v>
      </c>
      <c r="R11" s="2">
        <f>STDEV(M62,M56,M46,M40)/SQRT(4)</f>
        <v>0.29596559164545877</v>
      </c>
    </row>
    <row r="12" spans="1:18">
      <c r="A12" s="10" t="s">
        <v>45</v>
      </c>
      <c r="B12" s="8" t="s">
        <v>46</v>
      </c>
      <c r="C12" s="11" t="s">
        <v>22</v>
      </c>
      <c r="D12" s="12">
        <v>1.9858333333333336</v>
      </c>
      <c r="E12" s="12">
        <v>631867.87898927392</v>
      </c>
      <c r="F12" s="12">
        <f t="shared" si="0"/>
        <v>12.285941033032643</v>
      </c>
      <c r="G12" s="10">
        <v>0.41</v>
      </c>
      <c r="H12" s="10">
        <v>10</v>
      </c>
      <c r="I12" s="12">
        <f t="shared" si="1"/>
        <v>299.65709836664985</v>
      </c>
      <c r="J12" s="12">
        <v>7.6666666666666785</v>
      </c>
      <c r="K12" s="12">
        <f t="shared" si="2"/>
        <v>2297.3710874776525</v>
      </c>
      <c r="L12" s="12">
        <f t="shared" si="3"/>
        <v>2.2973710874776527</v>
      </c>
      <c r="M12" s="27">
        <f>AVERAGE(L12:L13)</f>
        <v>2.260778118952294</v>
      </c>
    </row>
    <row r="13" spans="1:18">
      <c r="A13" s="10" t="s">
        <v>47</v>
      </c>
      <c r="B13" s="8" t="s">
        <v>46</v>
      </c>
      <c r="C13" s="11" t="s">
        <v>22</v>
      </c>
      <c r="D13" s="12">
        <v>1.7974851104707337</v>
      </c>
      <c r="E13" s="12">
        <v>610143.88692943531</v>
      </c>
      <c r="F13" s="12">
        <f t="shared" si="0"/>
        <v>11.923566480332203</v>
      </c>
      <c r="G13" s="10">
        <v>0.41099999999999998</v>
      </c>
      <c r="H13" s="10">
        <v>10</v>
      </c>
      <c r="I13" s="12">
        <f t="shared" si="1"/>
        <v>290.11110657742591</v>
      </c>
      <c r="J13" s="12">
        <v>7.6666666666666785</v>
      </c>
      <c r="K13" s="12">
        <f t="shared" si="2"/>
        <v>2224.1851504269353</v>
      </c>
      <c r="L13" s="12">
        <f t="shared" si="3"/>
        <v>2.2241851504269352</v>
      </c>
      <c r="M13" s="27"/>
    </row>
    <row r="14" spans="1:18">
      <c r="A14" s="21" t="s">
        <v>48</v>
      </c>
      <c r="B14" s="22" t="s">
        <v>49</v>
      </c>
      <c r="C14" s="23" t="s">
        <v>22</v>
      </c>
      <c r="D14" s="24">
        <v>1.6850000000000001</v>
      </c>
      <c r="E14" s="24">
        <v>597518.38005132519</v>
      </c>
      <c r="F14" s="24">
        <f t="shared" si="0"/>
        <v>11.712962352188113</v>
      </c>
      <c r="G14" s="21">
        <v>0.39100000000000001</v>
      </c>
      <c r="H14" s="21">
        <v>10</v>
      </c>
      <c r="I14" s="24">
        <f t="shared" si="1"/>
        <v>299.56425453166526</v>
      </c>
      <c r="J14" s="24">
        <v>8.1578947368421062</v>
      </c>
      <c r="K14" s="24">
        <f t="shared" si="2"/>
        <v>2443.8136553899012</v>
      </c>
      <c r="L14" s="24">
        <f t="shared" si="3"/>
        <v>2.443813655389901</v>
      </c>
      <c r="M14" s="28">
        <f>AVERAGE(L14:L15)</f>
        <v>1.830904085894471</v>
      </c>
    </row>
    <row r="15" spans="1:18">
      <c r="A15" s="21" t="s">
        <v>50</v>
      </c>
      <c r="B15" s="22" t="s">
        <v>49</v>
      </c>
      <c r="C15" s="23" t="s">
        <v>22</v>
      </c>
      <c r="D15" s="24">
        <v>1.6191666666666669</v>
      </c>
      <c r="E15" s="24">
        <v>265890.30578808091</v>
      </c>
      <c r="F15" s="24">
        <f t="shared" si="0"/>
        <v>6.1811257199966789</v>
      </c>
      <c r="G15" s="21">
        <v>0.41399999999999998</v>
      </c>
      <c r="H15" s="21">
        <v>10</v>
      </c>
      <c r="I15" s="24">
        <f t="shared" si="1"/>
        <v>149.3025536231082</v>
      </c>
      <c r="J15" s="24">
        <v>8.1578947368421062</v>
      </c>
      <c r="K15" s="24">
        <f t="shared" si="2"/>
        <v>1217.9945163990408</v>
      </c>
      <c r="L15" s="24">
        <f t="shared" si="3"/>
        <v>1.2179945163990409</v>
      </c>
      <c r="M15" s="28"/>
    </row>
    <row r="16" spans="1:18">
      <c r="A16" s="17" t="s">
        <v>51</v>
      </c>
      <c r="B16" s="18" t="s">
        <v>52</v>
      </c>
      <c r="C16" s="19" t="s">
        <v>22</v>
      </c>
      <c r="D16" s="20">
        <v>1.61985224091612</v>
      </c>
      <c r="E16" s="20">
        <v>372554.70078435948</v>
      </c>
      <c r="F16" s="20">
        <f t="shared" si="0"/>
        <v>7.9603780010402092</v>
      </c>
      <c r="G16" s="17">
        <v>0.39400000000000002</v>
      </c>
      <c r="H16" s="17">
        <v>10</v>
      </c>
      <c r="I16" s="20">
        <f t="shared" si="1"/>
        <v>202.04005078782257</v>
      </c>
      <c r="J16" s="20">
        <v>7.9090909090909189</v>
      </c>
      <c r="K16" s="20">
        <f t="shared" si="2"/>
        <v>1597.9531289582351</v>
      </c>
      <c r="L16" s="20">
        <f t="shared" si="3"/>
        <v>1.5979531289582352</v>
      </c>
      <c r="M16" s="29">
        <f>AVERAGE(L16:L17)</f>
        <v>1.8620600375089977</v>
      </c>
    </row>
    <row r="17" spans="1:13">
      <c r="A17" s="17" t="s">
        <v>53</v>
      </c>
      <c r="B17" s="18" t="s">
        <v>52</v>
      </c>
      <c r="C17" s="19" t="s">
        <v>22</v>
      </c>
      <c r="D17" s="20">
        <v>1.885</v>
      </c>
      <c r="E17" s="20">
        <v>520632.29085076763</v>
      </c>
      <c r="F17" s="20">
        <f t="shared" si="0"/>
        <v>10.430437385957525</v>
      </c>
      <c r="G17" s="17">
        <v>0.38800000000000001</v>
      </c>
      <c r="H17" s="17">
        <v>10</v>
      </c>
      <c r="I17" s="20">
        <f t="shared" si="1"/>
        <v>268.82570582364752</v>
      </c>
      <c r="J17" s="20">
        <v>7.9090909090909189</v>
      </c>
      <c r="K17" s="20">
        <f t="shared" si="2"/>
        <v>2126.1669460597604</v>
      </c>
      <c r="L17" s="20">
        <f t="shared" si="3"/>
        <v>2.1261669460597603</v>
      </c>
      <c r="M17" s="29"/>
    </row>
    <row r="18" spans="1:13">
      <c r="A18" s="13" t="s">
        <v>54</v>
      </c>
      <c r="B18" s="14" t="s">
        <v>55</v>
      </c>
      <c r="C18" s="15" t="s">
        <v>22</v>
      </c>
      <c r="D18" s="16">
        <v>1.7613467071256235</v>
      </c>
      <c r="E18" s="16">
        <v>650276.27736596228</v>
      </c>
      <c r="F18" s="16">
        <f t="shared" si="0"/>
        <v>12.593008680144161</v>
      </c>
      <c r="G18" s="13">
        <v>0.41199999999999998</v>
      </c>
      <c r="H18" s="13">
        <v>10</v>
      </c>
      <c r="I18" s="16">
        <f t="shared" si="1"/>
        <v>305.65555048893594</v>
      </c>
      <c r="J18" s="16">
        <v>13.000000000000044</v>
      </c>
      <c r="K18" s="16">
        <f t="shared" si="2"/>
        <v>3973.5221563561809</v>
      </c>
      <c r="L18" s="16">
        <f t="shared" si="3"/>
        <v>3.9735221563561809</v>
      </c>
      <c r="M18" s="30">
        <f>AVERAGE(L18:L19)</f>
        <v>3.8639456338023823</v>
      </c>
    </row>
    <row r="19" spans="1:13">
      <c r="A19" s="13" t="s">
        <v>56</v>
      </c>
      <c r="B19" s="14" t="s">
        <v>55</v>
      </c>
      <c r="C19" s="15" t="s">
        <v>22</v>
      </c>
      <c r="D19" s="16">
        <v>1.6775</v>
      </c>
      <c r="E19" s="16">
        <v>584400.52455689025</v>
      </c>
      <c r="F19" s="16">
        <f t="shared" si="0"/>
        <v>11.494145432899469</v>
      </c>
      <c r="G19" s="13">
        <v>0.39800000000000002</v>
      </c>
      <c r="H19" s="13">
        <v>10</v>
      </c>
      <c r="I19" s="16">
        <f t="shared" si="1"/>
        <v>288.79762394219773</v>
      </c>
      <c r="J19" s="16">
        <v>13.000000000000044</v>
      </c>
      <c r="K19" s="16">
        <f t="shared" si="2"/>
        <v>3754.3691112485835</v>
      </c>
      <c r="L19" s="16">
        <f t="shared" si="3"/>
        <v>3.7543691112485833</v>
      </c>
      <c r="M19" s="30"/>
    </row>
    <row r="20" spans="1:13">
      <c r="A20" s="10" t="s">
        <v>57</v>
      </c>
      <c r="B20" s="8" t="s">
        <v>58</v>
      </c>
      <c r="C20" s="11" t="s">
        <v>22</v>
      </c>
      <c r="D20" s="12">
        <v>1.6156553124911601</v>
      </c>
      <c r="E20" s="12">
        <v>1085564.909635948</v>
      </c>
      <c r="F20" s="12">
        <f t="shared" si="0"/>
        <v>19.853991052994179</v>
      </c>
      <c r="G20" s="10">
        <v>0.375</v>
      </c>
      <c r="H20" s="10">
        <v>10</v>
      </c>
      <c r="I20" s="12">
        <f t="shared" si="1"/>
        <v>529.43976141317808</v>
      </c>
      <c r="J20" s="12">
        <v>6.6470588235294139</v>
      </c>
      <c r="K20" s="12">
        <f t="shared" si="2"/>
        <v>3519.2172376287731</v>
      </c>
      <c r="L20" s="12">
        <f t="shared" si="3"/>
        <v>3.5192172376287729</v>
      </c>
      <c r="M20" s="27">
        <f>AVERAGE(L20:L21)</f>
        <v>2.4212813810233658</v>
      </c>
    </row>
    <row r="21" spans="1:13">
      <c r="A21" s="10" t="s">
        <v>59</v>
      </c>
      <c r="B21" s="8" t="s">
        <v>58</v>
      </c>
      <c r="C21" s="11" t="s">
        <v>22</v>
      </c>
      <c r="D21" s="12">
        <v>1.6213477992010197</v>
      </c>
      <c r="E21" s="12">
        <v>352451.92135481053</v>
      </c>
      <c r="F21" s="12">
        <f t="shared" si="0"/>
        <v>7.6250466455622368</v>
      </c>
      <c r="G21" s="10">
        <v>0.38300000000000001</v>
      </c>
      <c r="H21" s="10">
        <v>10</v>
      </c>
      <c r="I21" s="12">
        <f t="shared" si="1"/>
        <v>199.08737977969287</v>
      </c>
      <c r="J21" s="12">
        <v>6.6470588235294139</v>
      </c>
      <c r="K21" s="12">
        <f t="shared" si="2"/>
        <v>1323.3455244179588</v>
      </c>
      <c r="L21" s="12">
        <f t="shared" si="3"/>
        <v>1.3233455244179588</v>
      </c>
      <c r="M21" s="27"/>
    </row>
    <row r="22" spans="1:13">
      <c r="A22" s="17" t="s">
        <v>60</v>
      </c>
      <c r="B22" s="18" t="s">
        <v>61</v>
      </c>
      <c r="C22" s="19" t="s">
        <v>22</v>
      </c>
      <c r="D22" s="20">
        <v>1.8708333333333333</v>
      </c>
      <c r="E22" s="20">
        <v>575875.50781775487</v>
      </c>
      <c r="F22" s="20">
        <f t="shared" si="0"/>
        <v>11.351940946767334</v>
      </c>
      <c r="G22" s="17">
        <v>0.41699999999999998</v>
      </c>
      <c r="H22" s="17">
        <v>10</v>
      </c>
      <c r="I22" s="20">
        <f t="shared" si="1"/>
        <v>272.22879968266989</v>
      </c>
      <c r="J22" s="20">
        <v>11.222222222222237</v>
      </c>
      <c r="K22" s="20">
        <f t="shared" si="2"/>
        <v>3055.012085327744</v>
      </c>
      <c r="L22" s="20">
        <f t="shared" si="3"/>
        <v>3.055012085327744</v>
      </c>
      <c r="M22" s="29">
        <f>AVERAGE(L22:L23)</f>
        <v>2.8120062966836392</v>
      </c>
    </row>
    <row r="23" spans="1:13">
      <c r="A23" s="17" t="s">
        <v>62</v>
      </c>
      <c r="B23" s="18" t="s">
        <v>61</v>
      </c>
      <c r="C23" s="19" t="s">
        <v>22</v>
      </c>
      <c r="D23" s="20">
        <v>1.7667479227291187</v>
      </c>
      <c r="E23" s="20">
        <v>437419.22349279391</v>
      </c>
      <c r="F23" s="20">
        <f t="shared" si="0"/>
        <v>9.0423730753272604</v>
      </c>
      <c r="G23" s="17">
        <v>0.39500000000000002</v>
      </c>
      <c r="H23" s="17">
        <v>10</v>
      </c>
      <c r="I23" s="20">
        <f t="shared" si="1"/>
        <v>228.92083735005721</v>
      </c>
      <c r="J23" s="20">
        <v>11.222222222222237</v>
      </c>
      <c r="K23" s="20">
        <f t="shared" si="2"/>
        <v>2569.0005080395345</v>
      </c>
      <c r="L23" s="20">
        <f t="shared" si="3"/>
        <v>2.5690005080395344</v>
      </c>
      <c r="M23" s="29"/>
    </row>
    <row r="24" spans="1:13">
      <c r="A24" s="21" t="s">
        <v>63</v>
      </c>
      <c r="B24" s="22" t="s">
        <v>64</v>
      </c>
      <c r="C24" s="23" t="s">
        <v>22</v>
      </c>
      <c r="D24" s="24">
        <v>1.6843017725305425</v>
      </c>
      <c r="E24" s="24">
        <v>356846.69377970404</v>
      </c>
      <c r="F24" s="24">
        <f t="shared" si="0"/>
        <v>7.6983551648852195</v>
      </c>
      <c r="G24" s="21">
        <v>0.39200000000000002</v>
      </c>
      <c r="H24" s="21">
        <v>10</v>
      </c>
      <c r="I24" s="24">
        <f t="shared" si="1"/>
        <v>196.38661134911274</v>
      </c>
      <c r="J24" s="24">
        <v>23.000000000000149</v>
      </c>
      <c r="K24" s="24">
        <f t="shared" si="2"/>
        <v>4516.8920610296227</v>
      </c>
      <c r="L24" s="24">
        <f t="shared" si="3"/>
        <v>4.5168920610296226</v>
      </c>
      <c r="M24" s="28">
        <f>AVERAGE(L24:L25)</f>
        <v>4.9716151137613736</v>
      </c>
    </row>
    <row r="25" spans="1:13">
      <c r="A25" s="21" t="s">
        <v>65</v>
      </c>
      <c r="B25" s="22" t="s">
        <v>64</v>
      </c>
      <c r="C25" s="23" t="s">
        <v>22</v>
      </c>
      <c r="D25" s="24">
        <v>1.6202495314278516</v>
      </c>
      <c r="E25" s="24">
        <v>465326.38842376939</v>
      </c>
      <c r="F25" s="24">
        <f t="shared" si="0"/>
        <v>9.5078881786813696</v>
      </c>
      <c r="G25" s="21">
        <v>0.40300000000000002</v>
      </c>
      <c r="H25" s="21">
        <v>10</v>
      </c>
      <c r="I25" s="24">
        <f t="shared" si="1"/>
        <v>235.92774636926475</v>
      </c>
      <c r="J25" s="24">
        <v>23.000000000000149</v>
      </c>
      <c r="K25" s="24">
        <f t="shared" si="2"/>
        <v>5426.3381664931248</v>
      </c>
      <c r="L25" s="24">
        <f t="shared" si="3"/>
        <v>5.4263381664931245</v>
      </c>
      <c r="M25" s="28"/>
    </row>
    <row r="26" spans="1:13">
      <c r="A26" s="10" t="s">
        <v>66</v>
      </c>
      <c r="B26" s="8" t="s">
        <v>67</v>
      </c>
      <c r="C26" s="11" t="s">
        <v>22</v>
      </c>
      <c r="D26" s="12">
        <v>1.6190183521772872</v>
      </c>
      <c r="E26" s="12">
        <v>356176.45739370881</v>
      </c>
      <c r="F26" s="12">
        <f t="shared" si="0"/>
        <v>7.6871750553588685</v>
      </c>
      <c r="G26" s="10">
        <v>0.40200000000000002</v>
      </c>
      <c r="H26" s="10">
        <v>10</v>
      </c>
      <c r="I26" s="12">
        <f t="shared" si="1"/>
        <v>191.22326008355392</v>
      </c>
      <c r="J26" s="12">
        <v>7.7272727272727364</v>
      </c>
      <c r="K26" s="12">
        <f t="shared" si="2"/>
        <v>1477.6342824638275</v>
      </c>
      <c r="L26" s="12">
        <f t="shared" si="3"/>
        <v>1.4776342824638276</v>
      </c>
      <c r="M26" s="27">
        <f>AVERAGE(L26:L27)</f>
        <v>1.5341689692253908</v>
      </c>
    </row>
    <row r="27" spans="1:13">
      <c r="A27" s="10" t="s">
        <v>68</v>
      </c>
      <c r="B27" s="8" t="s">
        <v>67</v>
      </c>
      <c r="C27" s="11" t="s">
        <v>22</v>
      </c>
      <c r="D27" s="12">
        <v>1.8891666666666669</v>
      </c>
      <c r="E27" s="12">
        <v>398844.57353618223</v>
      </c>
      <c r="F27" s="12">
        <f t="shared" si="0"/>
        <v>8.3989153036111066</v>
      </c>
      <c r="G27" s="10">
        <v>0.40799999999999997</v>
      </c>
      <c r="H27" s="10">
        <v>10</v>
      </c>
      <c r="I27" s="12">
        <f t="shared" si="1"/>
        <v>205.85576724537026</v>
      </c>
      <c r="J27" s="12">
        <v>7.7272727272727364</v>
      </c>
      <c r="K27" s="12">
        <f t="shared" si="2"/>
        <v>1590.7036559869539</v>
      </c>
      <c r="L27" s="12">
        <f t="shared" si="3"/>
        <v>1.5907036559869538</v>
      </c>
      <c r="M27" s="27"/>
    </row>
    <row r="28" spans="1:13">
      <c r="A28" s="13" t="s">
        <v>69</v>
      </c>
      <c r="B28" s="14" t="s">
        <v>70</v>
      </c>
      <c r="C28" s="15" t="s">
        <v>22</v>
      </c>
      <c r="D28" s="16">
        <v>1.7668053767150753</v>
      </c>
      <c r="E28" s="16">
        <v>668949.40427828568</v>
      </c>
      <c r="F28" s="16">
        <f t="shared" si="0"/>
        <v>12.904492223027669</v>
      </c>
      <c r="G28" s="13">
        <v>0.39200000000000002</v>
      </c>
      <c r="H28" s="13">
        <v>10</v>
      </c>
      <c r="I28" s="16">
        <f t="shared" si="1"/>
        <v>329.19623017927722</v>
      </c>
      <c r="J28" s="16">
        <v>11.888888888888905</v>
      </c>
      <c r="K28" s="16">
        <f t="shared" si="2"/>
        <v>3913.7774032425236</v>
      </c>
      <c r="L28" s="16">
        <f t="shared" si="3"/>
        <v>3.9137774032425234</v>
      </c>
      <c r="M28" s="30">
        <f>AVERAGE(L28:L29)</f>
        <v>3.4981824673674313</v>
      </c>
    </row>
    <row r="29" spans="1:13">
      <c r="A29" s="13" t="s">
        <v>71</v>
      </c>
      <c r="B29" s="14" t="s">
        <v>70</v>
      </c>
      <c r="C29" s="15" t="s">
        <v>22</v>
      </c>
      <c r="D29" s="16">
        <v>1.6800778413158115</v>
      </c>
      <c r="E29" s="16">
        <v>512425.28659212688</v>
      </c>
      <c r="F29" s="16">
        <f t="shared" si="0"/>
        <v>10.293537616843096</v>
      </c>
      <c r="G29" s="13">
        <v>0.39700000000000002</v>
      </c>
      <c r="H29" s="13">
        <v>10</v>
      </c>
      <c r="I29" s="16">
        <f t="shared" si="1"/>
        <v>259.28306339655154</v>
      </c>
      <c r="J29" s="16">
        <v>11.888888888888905</v>
      </c>
      <c r="K29" s="16">
        <f t="shared" si="2"/>
        <v>3082.5875314923392</v>
      </c>
      <c r="L29" s="16">
        <f t="shared" si="3"/>
        <v>3.0825875314923392</v>
      </c>
      <c r="M29" s="30"/>
    </row>
    <row r="30" spans="1:13">
      <c r="A30" s="21" t="s">
        <v>72</v>
      </c>
      <c r="B30" s="22" t="s">
        <v>73</v>
      </c>
      <c r="C30" s="23" t="s">
        <v>22</v>
      </c>
      <c r="D30" s="24">
        <v>1.6181377977179814</v>
      </c>
      <c r="E30" s="24">
        <v>450468.90622115968</v>
      </c>
      <c r="F30" s="24">
        <f t="shared" si="0"/>
        <v>9.2600528152456203</v>
      </c>
      <c r="G30" s="21">
        <v>0.38400000000000001</v>
      </c>
      <c r="H30" s="21">
        <v>10</v>
      </c>
      <c r="I30" s="24">
        <f t="shared" si="1"/>
        <v>241.14720873035469</v>
      </c>
      <c r="J30" s="25">
        <v>22.499999999999968</v>
      </c>
      <c r="K30" s="24">
        <f t="shared" si="2"/>
        <v>5425.812196432973</v>
      </c>
      <c r="L30" s="24">
        <f t="shared" si="3"/>
        <v>5.4258121964329726</v>
      </c>
      <c r="M30" s="28">
        <f>AVERAGE(L30:L31)</f>
        <v>4.7627919022478391</v>
      </c>
    </row>
    <row r="31" spans="1:13">
      <c r="A31" s="21" t="s">
        <v>74</v>
      </c>
      <c r="B31" s="22" t="s">
        <v>73</v>
      </c>
      <c r="C31" s="23" t="s">
        <v>22</v>
      </c>
      <c r="D31" s="24">
        <v>1.6193174108940707</v>
      </c>
      <c r="E31" s="24">
        <v>319167.14113386488</v>
      </c>
      <c r="F31" s="24">
        <f t="shared" si="0"/>
        <v>7.0698283730148104</v>
      </c>
      <c r="G31" s="21">
        <v>0.38800000000000001</v>
      </c>
      <c r="H31" s="21">
        <v>10</v>
      </c>
      <c r="I31" s="24">
        <f t="shared" si="1"/>
        <v>182.21207146945386</v>
      </c>
      <c r="J31" s="25">
        <v>22.499999999999968</v>
      </c>
      <c r="K31" s="24">
        <f t="shared" si="2"/>
        <v>4099.771608062706</v>
      </c>
      <c r="L31" s="24">
        <f t="shared" si="3"/>
        <v>4.0997716080627065</v>
      </c>
      <c r="M31" s="28"/>
    </row>
    <row r="32" spans="1:13">
      <c r="A32" s="17" t="s">
        <v>75</v>
      </c>
      <c r="B32" s="18" t="s">
        <v>76</v>
      </c>
      <c r="C32" s="19" t="s">
        <v>22</v>
      </c>
      <c r="D32" s="20">
        <v>1.925</v>
      </c>
      <c r="E32" s="20">
        <v>433341.53832379892</v>
      </c>
      <c r="F32" s="20">
        <f t="shared" si="0"/>
        <v>8.9743538394935509</v>
      </c>
      <c r="G32" s="17">
        <v>0.39800000000000002</v>
      </c>
      <c r="H32" s="17">
        <v>10</v>
      </c>
      <c r="I32" s="20">
        <f t="shared" si="1"/>
        <v>225.48627737420981</v>
      </c>
      <c r="J32" s="20">
        <v>8.8181818181818254</v>
      </c>
      <c r="K32" s="20">
        <f t="shared" si="2"/>
        <v>1988.3789913907608</v>
      </c>
      <c r="L32" s="20">
        <f t="shared" si="3"/>
        <v>1.9883789913907608</v>
      </c>
      <c r="M32" s="29">
        <f>AVERAGE(L32:L33)</f>
        <v>1.8622218576678096</v>
      </c>
    </row>
    <row r="33" spans="1:13">
      <c r="A33" s="17" t="s">
        <v>77</v>
      </c>
      <c r="B33" s="18" t="s">
        <v>76</v>
      </c>
      <c r="C33" s="19" t="s">
        <v>22</v>
      </c>
      <c r="D33" s="20">
        <v>1.7941666666666667</v>
      </c>
      <c r="E33" s="20">
        <v>360350.92936538981</v>
      </c>
      <c r="F33" s="20">
        <f t="shared" si="0"/>
        <v>7.7568087768835143</v>
      </c>
      <c r="G33" s="17">
        <v>0.39400000000000002</v>
      </c>
      <c r="H33" s="17">
        <v>10</v>
      </c>
      <c r="I33" s="20">
        <f t="shared" si="1"/>
        <v>196.87331921024148</v>
      </c>
      <c r="J33" s="20">
        <v>8.8181818181818254</v>
      </c>
      <c r="K33" s="20">
        <f t="shared" si="2"/>
        <v>1736.0647239448581</v>
      </c>
      <c r="L33" s="20">
        <f t="shared" si="3"/>
        <v>1.7360647239448581</v>
      </c>
      <c r="M33" s="29"/>
    </row>
    <row r="34" spans="1:13">
      <c r="A34" s="10" t="s">
        <v>78</v>
      </c>
      <c r="B34" s="8" t="s">
        <v>21</v>
      </c>
      <c r="C34" s="11" t="s">
        <v>79</v>
      </c>
      <c r="D34" s="12">
        <v>1.6752211002254025</v>
      </c>
      <c r="E34" s="12">
        <v>732348.92607233662</v>
      </c>
      <c r="F34" s="12">
        <f t="shared" si="0"/>
        <v>13.962049843572647</v>
      </c>
      <c r="G34" s="10">
        <v>0.40400000000000003</v>
      </c>
      <c r="H34" s="10">
        <v>10</v>
      </c>
      <c r="I34" s="12">
        <f t="shared" si="1"/>
        <v>345.59529315773875</v>
      </c>
      <c r="J34" s="12">
        <v>6.6000000000000023</v>
      </c>
      <c r="K34" s="12">
        <f t="shared" si="2"/>
        <v>2280.9289348410766</v>
      </c>
      <c r="L34" s="12">
        <f t="shared" si="3"/>
        <v>2.2809289348410768</v>
      </c>
      <c r="M34" s="27">
        <f>AVERAGE(L34:L35)</f>
        <v>2.07382119973032</v>
      </c>
    </row>
    <row r="35" spans="1:13">
      <c r="A35" s="10" t="s">
        <v>80</v>
      </c>
      <c r="B35" s="8" t="s">
        <v>21</v>
      </c>
      <c r="C35" s="11" t="s">
        <v>79</v>
      </c>
      <c r="D35" s="12">
        <v>1.6173888503817284</v>
      </c>
      <c r="E35" s="12">
        <v>578652.62140398007</v>
      </c>
      <c r="F35" s="12">
        <f t="shared" si="0"/>
        <v>11.398265549116417</v>
      </c>
      <c r="G35" s="10">
        <v>0.40300000000000002</v>
      </c>
      <c r="H35" s="10">
        <v>10</v>
      </c>
      <c r="I35" s="12">
        <f t="shared" si="1"/>
        <v>282.83537342720638</v>
      </c>
      <c r="J35" s="12">
        <v>6.6000000000000023</v>
      </c>
      <c r="K35" s="12">
        <f t="shared" si="2"/>
        <v>1866.7134646195627</v>
      </c>
      <c r="L35" s="12">
        <f t="shared" si="3"/>
        <v>1.8667134646195627</v>
      </c>
      <c r="M35" s="27"/>
    </row>
    <row r="36" spans="1:13">
      <c r="A36" s="13" t="s">
        <v>81</v>
      </c>
      <c r="B36" s="14" t="s">
        <v>28</v>
      </c>
      <c r="C36" s="15" t="s">
        <v>79</v>
      </c>
      <c r="D36" s="16">
        <v>1.6180848850233254</v>
      </c>
      <c r="E36" s="16">
        <v>658078.92509212915</v>
      </c>
      <c r="F36" s="16">
        <f t="shared" si="0"/>
        <v>12.723163440459876</v>
      </c>
      <c r="G36" s="13">
        <v>0.40500000000000003</v>
      </c>
      <c r="H36" s="13">
        <v>10</v>
      </c>
      <c r="I36" s="16">
        <f t="shared" si="1"/>
        <v>314.15218371505864</v>
      </c>
      <c r="J36" s="16">
        <v>7.1052631578947389</v>
      </c>
      <c r="K36" s="16">
        <f t="shared" si="2"/>
        <v>2232.1339369227858</v>
      </c>
      <c r="L36" s="16">
        <f t="shared" si="3"/>
        <v>2.2321339369227857</v>
      </c>
      <c r="M36" s="30">
        <f>AVERAGE(L36:L37)</f>
        <v>2.6328622274410587</v>
      </c>
    </row>
    <row r="37" spans="1:13">
      <c r="A37" s="13" t="s">
        <v>82</v>
      </c>
      <c r="B37" s="14" t="s">
        <v>28</v>
      </c>
      <c r="C37" s="15" t="s">
        <v>79</v>
      </c>
      <c r="D37" s="16">
        <v>1.8661733578911166</v>
      </c>
      <c r="E37" s="16">
        <v>903789.35900527646</v>
      </c>
      <c r="F37" s="16">
        <f t="shared" si="0"/>
        <v>16.821821198106331</v>
      </c>
      <c r="G37" s="13">
        <v>0.39400000000000002</v>
      </c>
      <c r="H37" s="13">
        <v>10</v>
      </c>
      <c r="I37" s="16">
        <f t="shared" si="1"/>
        <v>426.94977660168354</v>
      </c>
      <c r="J37" s="16">
        <v>7.1052631578947389</v>
      </c>
      <c r="K37" s="16">
        <f t="shared" si="2"/>
        <v>3033.5905179593315</v>
      </c>
      <c r="L37" s="16">
        <f t="shared" si="3"/>
        <v>3.0335905179593317</v>
      </c>
      <c r="M37" s="30"/>
    </row>
    <row r="38" spans="1:13">
      <c r="A38" s="17" t="s">
        <v>83</v>
      </c>
      <c r="B38" s="18" t="s">
        <v>34</v>
      </c>
      <c r="C38" s="19" t="s">
        <v>79</v>
      </c>
      <c r="D38" s="20">
        <v>1.7731577972046826</v>
      </c>
      <c r="E38" s="20">
        <v>658742.13221092569</v>
      </c>
      <c r="F38" s="20">
        <f t="shared" si="0"/>
        <v>12.734226295866915</v>
      </c>
      <c r="G38" s="17">
        <v>0.39400000000000002</v>
      </c>
      <c r="H38" s="17">
        <v>10</v>
      </c>
      <c r="I38" s="20">
        <f t="shared" si="1"/>
        <v>323.20371309306893</v>
      </c>
      <c r="J38" s="20">
        <v>10.454545454545466</v>
      </c>
      <c r="K38" s="20">
        <f t="shared" si="2"/>
        <v>3378.9479096093605</v>
      </c>
      <c r="L38" s="20">
        <f t="shared" si="3"/>
        <v>3.3789479096093604</v>
      </c>
      <c r="M38" s="29">
        <f>AVERAGE(L38:L39)</f>
        <v>3.705919411523936</v>
      </c>
    </row>
    <row r="39" spans="1:13">
      <c r="A39" s="17" t="s">
        <v>84</v>
      </c>
      <c r="B39" s="18" t="s">
        <v>34</v>
      </c>
      <c r="C39" s="19" t="s">
        <v>79</v>
      </c>
      <c r="D39" s="20">
        <v>1.6815853730355013</v>
      </c>
      <c r="E39" s="20">
        <v>806487.17140903359</v>
      </c>
      <c r="F39" s="20">
        <f t="shared" si="0"/>
        <v>15.198738451167385</v>
      </c>
      <c r="G39" s="17">
        <v>0.39400000000000002</v>
      </c>
      <c r="H39" s="17">
        <v>10</v>
      </c>
      <c r="I39" s="20">
        <f t="shared" si="1"/>
        <v>385.75478302455286</v>
      </c>
      <c r="J39" s="20">
        <v>10.454545454545466</v>
      </c>
      <c r="K39" s="20">
        <f t="shared" si="2"/>
        <v>4032.8909134385117</v>
      </c>
      <c r="L39" s="20">
        <f t="shared" si="3"/>
        <v>4.0328909134385116</v>
      </c>
      <c r="M39" s="29"/>
    </row>
    <row r="40" spans="1:13">
      <c r="A40" s="21" t="s">
        <v>85</v>
      </c>
      <c r="B40" s="22" t="s">
        <v>39</v>
      </c>
      <c r="C40" s="23" t="s">
        <v>79</v>
      </c>
      <c r="D40" s="24">
        <v>1.6159123408654246</v>
      </c>
      <c r="E40" s="24">
        <v>660960.17136408156</v>
      </c>
      <c r="F40" s="24">
        <f t="shared" si="0"/>
        <v>12.771225064039125</v>
      </c>
      <c r="G40" s="21">
        <v>0.39300000000000002</v>
      </c>
      <c r="H40" s="21">
        <v>10</v>
      </c>
      <c r="I40" s="24">
        <f t="shared" si="1"/>
        <v>324.96755888140268</v>
      </c>
      <c r="J40" s="24">
        <v>8.0909090909091006</v>
      </c>
      <c r="K40" s="24">
        <f t="shared" si="2"/>
        <v>2629.2829764040794</v>
      </c>
      <c r="L40" s="24">
        <f t="shared" si="3"/>
        <v>2.6292829764040793</v>
      </c>
      <c r="M40" s="28">
        <f>AVERAGE(L40:L41)</f>
        <v>2.4790026185814362</v>
      </c>
    </row>
    <row r="41" spans="1:13">
      <c r="A41" s="21" t="s">
        <v>86</v>
      </c>
      <c r="B41" s="22" t="s">
        <v>39</v>
      </c>
      <c r="C41" s="23" t="s">
        <v>79</v>
      </c>
      <c r="D41" s="24">
        <v>1.6168627450980408</v>
      </c>
      <c r="E41" s="24">
        <v>585517.9006348385</v>
      </c>
      <c r="F41" s="24">
        <f t="shared" si="0"/>
        <v>11.512784210492894</v>
      </c>
      <c r="G41" s="21">
        <v>0.4</v>
      </c>
      <c r="H41" s="21">
        <v>10</v>
      </c>
      <c r="I41" s="24">
        <f t="shared" si="1"/>
        <v>287.81960526232234</v>
      </c>
      <c r="J41" s="24">
        <v>8.0909090909091006</v>
      </c>
      <c r="K41" s="24">
        <f t="shared" si="2"/>
        <v>2328.7222607587928</v>
      </c>
      <c r="L41" s="24">
        <f t="shared" si="3"/>
        <v>2.3287222607587927</v>
      </c>
      <c r="M41" s="28"/>
    </row>
    <row r="42" spans="1:13">
      <c r="A42" s="13" t="s">
        <v>87</v>
      </c>
      <c r="B42" s="14" t="s">
        <v>43</v>
      </c>
      <c r="C42" s="15" t="s">
        <v>79</v>
      </c>
      <c r="D42" s="16">
        <v>1.8683333333333334</v>
      </c>
      <c r="E42" s="16">
        <v>778069.56452252134</v>
      </c>
      <c r="F42" s="16">
        <f t="shared" si="0"/>
        <v>14.724708744474826</v>
      </c>
      <c r="G42" s="13">
        <v>0.39500000000000002</v>
      </c>
      <c r="H42" s="13">
        <v>10</v>
      </c>
      <c r="I42" s="16">
        <f t="shared" si="1"/>
        <v>372.77743656898298</v>
      </c>
      <c r="J42" s="16">
        <v>5.5714285714285721</v>
      </c>
      <c r="K42" s="16">
        <f t="shared" si="2"/>
        <v>2076.9028608843341</v>
      </c>
      <c r="L42" s="16">
        <f t="shared" si="3"/>
        <v>2.0769028608843341</v>
      </c>
      <c r="M42" s="30">
        <f>AVERAGE(L42:L43)</f>
        <v>2.0304952613788672</v>
      </c>
    </row>
    <row r="43" spans="1:13">
      <c r="A43" s="13" t="s">
        <v>88</v>
      </c>
      <c r="B43" s="14" t="s">
        <v>43</v>
      </c>
      <c r="C43" s="15" t="s">
        <v>79</v>
      </c>
      <c r="D43" s="16">
        <v>1.7681669675091842</v>
      </c>
      <c r="E43" s="16">
        <v>742890.75379625917</v>
      </c>
      <c r="F43" s="16">
        <f t="shared" si="0"/>
        <v>14.137896441913279</v>
      </c>
      <c r="G43" s="13">
        <v>0.39700000000000002</v>
      </c>
      <c r="H43" s="13">
        <v>10</v>
      </c>
      <c r="I43" s="16">
        <f t="shared" si="1"/>
        <v>356.11829828496923</v>
      </c>
      <c r="J43" s="16">
        <v>5.5714285714285721</v>
      </c>
      <c r="K43" s="16">
        <f t="shared" si="2"/>
        <v>1984.0876618734003</v>
      </c>
      <c r="L43" s="16">
        <f t="shared" si="3"/>
        <v>1.9840876618734002</v>
      </c>
      <c r="M43" s="30"/>
    </row>
    <row r="44" spans="1:13">
      <c r="A44" s="10" t="s">
        <v>89</v>
      </c>
      <c r="B44" s="8" t="s">
        <v>46</v>
      </c>
      <c r="C44" s="11" t="s">
        <v>79</v>
      </c>
      <c r="D44" s="12">
        <v>1.6801502006765088</v>
      </c>
      <c r="E44" s="12">
        <v>780634.20980819536</v>
      </c>
      <c r="F44" s="12">
        <f t="shared" si="0"/>
        <v>14.76748919595315</v>
      </c>
      <c r="G44" s="10">
        <v>0.41499999999999998</v>
      </c>
      <c r="H44" s="10">
        <v>10</v>
      </c>
      <c r="I44" s="12">
        <f t="shared" si="1"/>
        <v>355.84311315549758</v>
      </c>
      <c r="J44" s="12">
        <v>7.8000000000000043</v>
      </c>
      <c r="K44" s="12">
        <f t="shared" si="2"/>
        <v>2775.5762826128826</v>
      </c>
      <c r="L44" s="12">
        <f t="shared" si="3"/>
        <v>2.7755762826128825</v>
      </c>
      <c r="M44" s="27">
        <f>AVERAGE(L44:L45)</f>
        <v>2.6436122613816844</v>
      </c>
    </row>
    <row r="45" spans="1:13">
      <c r="A45" s="10" t="s">
        <v>90</v>
      </c>
      <c r="B45" s="8" t="s">
        <v>46</v>
      </c>
      <c r="C45" s="11" t="s">
        <v>79</v>
      </c>
      <c r="D45" s="12">
        <v>1.6124146449878598</v>
      </c>
      <c r="E45" s="12">
        <v>667495.95050657133</v>
      </c>
      <c r="F45" s="12">
        <f t="shared" si="0"/>
        <v>12.880247385387101</v>
      </c>
      <c r="G45" s="10">
        <v>0.4</v>
      </c>
      <c r="H45" s="10">
        <v>10</v>
      </c>
      <c r="I45" s="12">
        <f t="shared" si="1"/>
        <v>322.00618463467748</v>
      </c>
      <c r="J45" s="12">
        <v>7.8000000000000043</v>
      </c>
      <c r="K45" s="12">
        <f t="shared" si="2"/>
        <v>2511.6482401504859</v>
      </c>
      <c r="L45" s="12">
        <f t="shared" si="3"/>
        <v>2.5116482401504858</v>
      </c>
      <c r="M45" s="27"/>
    </row>
    <row r="46" spans="1:13">
      <c r="A46" s="21" t="s">
        <v>91</v>
      </c>
      <c r="B46" s="22" t="s">
        <v>49</v>
      </c>
      <c r="C46" s="23" t="s">
        <v>79</v>
      </c>
      <c r="D46" s="24">
        <v>1.614033574455449</v>
      </c>
      <c r="E46" s="24">
        <v>594331.20021263987</v>
      </c>
      <c r="F46" s="24">
        <f t="shared" si="0"/>
        <v>11.659797498084036</v>
      </c>
      <c r="G46" s="21">
        <v>0.39900000000000002</v>
      </c>
      <c r="H46" s="21">
        <v>10</v>
      </c>
      <c r="I46" s="24">
        <f t="shared" si="1"/>
        <v>292.22550120511363</v>
      </c>
      <c r="J46" s="24">
        <v>7.1538461538461577</v>
      </c>
      <c r="K46" s="24">
        <f t="shared" si="2"/>
        <v>2090.536277851968</v>
      </c>
      <c r="L46" s="24">
        <f t="shared" si="3"/>
        <v>2.0905362778519678</v>
      </c>
      <c r="M46" s="28">
        <f>AVERAGE(L46:L47)</f>
        <v>2.6226960901190166</v>
      </c>
    </row>
    <row r="47" spans="1:13">
      <c r="A47" s="21" t="s">
        <v>92</v>
      </c>
      <c r="B47" s="22" t="s">
        <v>49</v>
      </c>
      <c r="C47" s="23" t="s">
        <v>79</v>
      </c>
      <c r="D47" s="24">
        <v>1.875</v>
      </c>
      <c r="E47" s="24">
        <v>931691.55514403933</v>
      </c>
      <c r="F47" s="24">
        <f t="shared" si="0"/>
        <v>17.28725341780579</v>
      </c>
      <c r="G47" s="21">
        <v>0.39200000000000002</v>
      </c>
      <c r="H47" s="21">
        <v>10</v>
      </c>
      <c r="I47" s="24">
        <f t="shared" si="1"/>
        <v>441.00136269912724</v>
      </c>
      <c r="J47" s="24">
        <v>7.1538461538461577</v>
      </c>
      <c r="K47" s="24">
        <f t="shared" si="2"/>
        <v>3154.8559023860657</v>
      </c>
      <c r="L47" s="24">
        <f t="shared" si="3"/>
        <v>3.1548559023860658</v>
      </c>
      <c r="M47" s="28"/>
    </row>
    <row r="48" spans="1:13">
      <c r="A48" s="17" t="s">
        <v>93</v>
      </c>
      <c r="B48" s="18" t="s">
        <v>52</v>
      </c>
      <c r="C48" s="19" t="s">
        <v>79</v>
      </c>
      <c r="D48" s="20">
        <v>1.7818573109654632</v>
      </c>
      <c r="E48" s="20">
        <v>798112.70065944036</v>
      </c>
      <c r="F48" s="20">
        <f t="shared" si="0"/>
        <v>15.059045199410171</v>
      </c>
      <c r="G48" s="17">
        <v>0.4</v>
      </c>
      <c r="H48" s="17">
        <v>10</v>
      </c>
      <c r="I48" s="20">
        <f t="shared" si="1"/>
        <v>376.47612998525432</v>
      </c>
      <c r="J48" s="20">
        <v>7.7368421052631584</v>
      </c>
      <c r="K48" s="20">
        <f t="shared" si="2"/>
        <v>2912.7363740964415</v>
      </c>
      <c r="L48" s="20">
        <f t="shared" si="3"/>
        <v>2.9127363740964416</v>
      </c>
      <c r="M48" s="29">
        <f>AVERAGE(L48:L49)</f>
        <v>2.689542547073672</v>
      </c>
    </row>
    <row r="49" spans="1:13">
      <c r="A49" s="17" t="s">
        <v>94</v>
      </c>
      <c r="B49" s="18" t="s">
        <v>52</v>
      </c>
      <c r="C49" s="19" t="s">
        <v>79</v>
      </c>
      <c r="D49" s="20">
        <v>1.680597176889618</v>
      </c>
      <c r="E49" s="20">
        <v>667403.34025517874</v>
      </c>
      <c r="F49" s="20">
        <f t="shared" si="0"/>
        <v>12.878702568102533</v>
      </c>
      <c r="G49" s="17">
        <v>0.40400000000000003</v>
      </c>
      <c r="H49" s="17">
        <v>10</v>
      </c>
      <c r="I49" s="20">
        <f t="shared" si="1"/>
        <v>318.77976653719139</v>
      </c>
      <c r="J49" s="20">
        <v>7.7368421052631584</v>
      </c>
      <c r="K49" s="20">
        <f t="shared" si="2"/>
        <v>2466.3487200509021</v>
      </c>
      <c r="L49" s="20">
        <f t="shared" si="3"/>
        <v>2.466348720050902</v>
      </c>
      <c r="M49" s="29"/>
    </row>
    <row r="50" spans="1:13">
      <c r="A50" s="13" t="s">
        <v>95</v>
      </c>
      <c r="B50" s="14" t="s">
        <v>55</v>
      </c>
      <c r="C50" s="15" t="s">
        <v>79</v>
      </c>
      <c r="D50" s="16">
        <v>1.6086349555321042</v>
      </c>
      <c r="E50" s="16">
        <v>918076.74438585388</v>
      </c>
      <c r="F50" s="16">
        <f t="shared" si="0"/>
        <v>17.06014686459914</v>
      </c>
      <c r="G50" s="13">
        <v>0.39600000000000002</v>
      </c>
      <c r="H50" s="13">
        <v>10</v>
      </c>
      <c r="I50" s="16">
        <f t="shared" si="1"/>
        <v>430.81178951007934</v>
      </c>
      <c r="J50" s="16">
        <v>7.6666666666666705</v>
      </c>
      <c r="K50" s="16">
        <f t="shared" si="2"/>
        <v>3302.8903862439433</v>
      </c>
      <c r="L50" s="16">
        <f t="shared" si="3"/>
        <v>3.3028903862439432</v>
      </c>
      <c r="M50" s="30">
        <f>AVERAGE(L50:L51)</f>
        <v>3.0655554329931629</v>
      </c>
    </row>
    <row r="51" spans="1:13">
      <c r="A51" s="13" t="s">
        <v>96</v>
      </c>
      <c r="B51" s="14" t="s">
        <v>55</v>
      </c>
      <c r="C51" s="15" t="s">
        <v>79</v>
      </c>
      <c r="D51" s="16">
        <v>1.6102444753092886</v>
      </c>
      <c r="E51" s="16">
        <v>775518.40656891628</v>
      </c>
      <c r="F51" s="16">
        <f t="shared" si="0"/>
        <v>14.682153273097404</v>
      </c>
      <c r="G51" s="13">
        <v>0.39800000000000002</v>
      </c>
      <c r="H51" s="13">
        <v>10</v>
      </c>
      <c r="I51" s="16">
        <f t="shared" si="1"/>
        <v>368.89832344465839</v>
      </c>
      <c r="J51" s="16">
        <v>7.6666666666666705</v>
      </c>
      <c r="K51" s="16">
        <f t="shared" si="2"/>
        <v>2828.2204797423824</v>
      </c>
      <c r="L51" s="16">
        <f t="shared" si="3"/>
        <v>2.8282204797423822</v>
      </c>
      <c r="M51" s="30"/>
    </row>
    <row r="52" spans="1:13">
      <c r="A52" s="10" t="s">
        <v>97</v>
      </c>
      <c r="B52" s="8" t="s">
        <v>58</v>
      </c>
      <c r="C52" s="11" t="s">
        <v>79</v>
      </c>
      <c r="D52" s="12">
        <v>1.6102444753092886</v>
      </c>
      <c r="E52" s="12">
        <v>775518.40656891628</v>
      </c>
      <c r="F52" s="12">
        <f t="shared" si="0"/>
        <v>14.682153273097404</v>
      </c>
      <c r="G52" s="10">
        <v>0.40400000000000003</v>
      </c>
      <c r="H52" s="10">
        <v>10</v>
      </c>
      <c r="I52" s="12">
        <f t="shared" si="1"/>
        <v>363.41963547270802</v>
      </c>
      <c r="J52" s="12">
        <v>5.9473684210526327</v>
      </c>
      <c r="K52" s="12">
        <f t="shared" si="2"/>
        <v>2161.3904636008428</v>
      </c>
      <c r="L52" s="12">
        <f t="shared" si="3"/>
        <v>2.161390463600843</v>
      </c>
      <c r="M52" s="27">
        <f>AVERAGE(L52:L53)</f>
        <v>2.3538149769902068</v>
      </c>
    </row>
    <row r="53" spans="1:13">
      <c r="A53" s="10" t="s">
        <v>98</v>
      </c>
      <c r="B53" s="8" t="s">
        <v>58</v>
      </c>
      <c r="C53" s="11" t="s">
        <v>79</v>
      </c>
      <c r="D53" s="12">
        <v>1.7605003152585312</v>
      </c>
      <c r="E53" s="12">
        <v>934806.59624021733</v>
      </c>
      <c r="F53" s="12">
        <f t="shared" si="0"/>
        <v>17.339214936699818</v>
      </c>
      <c r="G53" s="10">
        <v>0.40500000000000003</v>
      </c>
      <c r="H53" s="10">
        <v>10</v>
      </c>
      <c r="I53" s="12">
        <f t="shared" si="1"/>
        <v>428.12876386913126</v>
      </c>
      <c r="J53" s="12">
        <v>5.9473684210526327</v>
      </c>
      <c r="K53" s="12">
        <f t="shared" si="2"/>
        <v>2546.2394903795707</v>
      </c>
      <c r="L53" s="12">
        <f t="shared" si="3"/>
        <v>2.5462394903795706</v>
      </c>
      <c r="M53" s="27"/>
    </row>
    <row r="54" spans="1:13">
      <c r="A54" s="17" t="s">
        <v>99</v>
      </c>
      <c r="B54" s="18" t="s">
        <v>61</v>
      </c>
      <c r="C54" s="19" t="s">
        <v>79</v>
      </c>
      <c r="D54" s="20">
        <v>1.6715238297204555</v>
      </c>
      <c r="E54" s="20">
        <v>890510.37646282243</v>
      </c>
      <c r="F54" s="20">
        <f t="shared" si="0"/>
        <v>16.6003165434423</v>
      </c>
      <c r="G54" s="17">
        <v>0.40300000000000002</v>
      </c>
      <c r="H54" s="17">
        <v>10</v>
      </c>
      <c r="I54" s="20">
        <f t="shared" si="1"/>
        <v>411.9185246511737</v>
      </c>
      <c r="J54" s="20">
        <v>7.3529411764705914</v>
      </c>
      <c r="K54" s="20">
        <f t="shared" si="2"/>
        <v>3028.8126812586315</v>
      </c>
      <c r="L54" s="20">
        <f t="shared" si="3"/>
        <v>3.0288126812586316</v>
      </c>
      <c r="M54" s="29">
        <f>AVERAGE(L54:L55)</f>
        <v>3.0139290808593264</v>
      </c>
    </row>
    <row r="55" spans="1:13">
      <c r="A55" s="17" t="s">
        <v>100</v>
      </c>
      <c r="B55" s="18" t="s">
        <v>61</v>
      </c>
      <c r="C55" s="19" t="s">
        <v>79</v>
      </c>
      <c r="D55" s="20">
        <v>1.6715238297204555</v>
      </c>
      <c r="E55" s="20">
        <v>890510.37646282243</v>
      </c>
      <c r="F55" s="20">
        <f t="shared" si="0"/>
        <v>16.6003165434423</v>
      </c>
      <c r="G55" s="17">
        <v>0.40699999999999997</v>
      </c>
      <c r="H55" s="17">
        <v>10</v>
      </c>
      <c r="I55" s="20">
        <f t="shared" si="1"/>
        <v>407.87018534256271</v>
      </c>
      <c r="J55" s="20">
        <v>7.3529411764705914</v>
      </c>
      <c r="K55" s="20">
        <f t="shared" si="2"/>
        <v>2999.0454804600213</v>
      </c>
      <c r="L55" s="20">
        <f t="shared" si="3"/>
        <v>2.9990454804600213</v>
      </c>
      <c r="M55" s="29"/>
    </row>
    <row r="56" spans="1:13">
      <c r="A56" s="21" t="s">
        <v>101</v>
      </c>
      <c r="B56" s="22" t="s">
        <v>64</v>
      </c>
      <c r="C56" s="23" t="s">
        <v>79</v>
      </c>
      <c r="D56" s="24">
        <v>1.604232707340417</v>
      </c>
      <c r="E56" s="24">
        <v>719749.43330389948</v>
      </c>
      <c r="F56" s="24">
        <f t="shared" si="0"/>
        <v>13.751879652769846</v>
      </c>
      <c r="G56" s="21">
        <v>0.38</v>
      </c>
      <c r="H56" s="21">
        <v>10</v>
      </c>
      <c r="I56" s="24">
        <f t="shared" si="1"/>
        <v>361.8915698097328</v>
      </c>
      <c r="J56" s="24">
        <v>8.8181818181818254</v>
      </c>
      <c r="K56" s="24">
        <f t="shared" si="2"/>
        <v>3191.2256610494646</v>
      </c>
      <c r="L56" s="24">
        <f t="shared" si="3"/>
        <v>3.1912256610494647</v>
      </c>
      <c r="M56" s="28">
        <f>AVERAGE(L56:L57)</f>
        <v>3.4114351979971627</v>
      </c>
    </row>
    <row r="57" spans="1:13">
      <c r="A57" s="21" t="s">
        <v>102</v>
      </c>
      <c r="B57" s="22" t="s">
        <v>64</v>
      </c>
      <c r="C57" s="23" t="s">
        <v>79</v>
      </c>
      <c r="D57" s="24">
        <v>1.94</v>
      </c>
      <c r="E57" s="24">
        <v>877966.42536307848</v>
      </c>
      <c r="F57" s="24">
        <f t="shared" si="0"/>
        <v>16.391072834627408</v>
      </c>
      <c r="G57" s="21">
        <v>0.39800000000000002</v>
      </c>
      <c r="H57" s="21">
        <v>10</v>
      </c>
      <c r="I57" s="24">
        <f t="shared" si="1"/>
        <v>411.83600087003538</v>
      </c>
      <c r="J57" s="24">
        <v>8.8181818181818254</v>
      </c>
      <c r="K57" s="24">
        <f t="shared" si="2"/>
        <v>3631.6447349448604</v>
      </c>
      <c r="L57" s="24">
        <f t="shared" si="3"/>
        <v>3.6316447349448602</v>
      </c>
      <c r="M57" s="28"/>
    </row>
    <row r="58" spans="1:13">
      <c r="A58" s="10" t="s">
        <v>103</v>
      </c>
      <c r="B58" s="8" t="s">
        <v>67</v>
      </c>
      <c r="C58" s="11" t="s">
        <v>79</v>
      </c>
      <c r="D58" s="12">
        <v>1.7588444736520887</v>
      </c>
      <c r="E58" s="12">
        <v>809705.77448146569</v>
      </c>
      <c r="F58" s="12">
        <f t="shared" si="0"/>
        <v>15.252427471375096</v>
      </c>
      <c r="G58" s="10">
        <v>0.40500000000000003</v>
      </c>
      <c r="H58" s="10">
        <v>10</v>
      </c>
      <c r="I58" s="12">
        <f t="shared" si="1"/>
        <v>376.60314744136042</v>
      </c>
      <c r="J58" s="12">
        <v>7.2105263157894761</v>
      </c>
      <c r="K58" s="12">
        <f t="shared" si="2"/>
        <v>2715.5069052350736</v>
      </c>
      <c r="L58" s="12">
        <f t="shared" si="3"/>
        <v>2.7155069052350735</v>
      </c>
      <c r="M58" s="27">
        <f>AVERAGE(L58:L59)</f>
        <v>2.5446032994040539</v>
      </c>
    </row>
    <row r="59" spans="1:13">
      <c r="A59" s="10" t="s">
        <v>104</v>
      </c>
      <c r="B59" s="8" t="s">
        <v>67</v>
      </c>
      <c r="C59" s="11" t="s">
        <v>79</v>
      </c>
      <c r="D59" s="12">
        <v>1.5965167427650078</v>
      </c>
      <c r="E59" s="12">
        <v>676850.51396014134</v>
      </c>
      <c r="F59" s="12">
        <f t="shared" si="0"/>
        <v>13.036289412002558</v>
      </c>
      <c r="G59" s="10">
        <v>0.39600000000000002</v>
      </c>
      <c r="H59" s="10">
        <v>10</v>
      </c>
      <c r="I59" s="12">
        <f t="shared" si="1"/>
        <v>329.19922757582214</v>
      </c>
      <c r="J59" s="12">
        <v>7.2105263157894761</v>
      </c>
      <c r="K59" s="12">
        <f t="shared" si="2"/>
        <v>2373.699693573034</v>
      </c>
      <c r="L59" s="12">
        <f t="shared" si="3"/>
        <v>2.3736996935730339</v>
      </c>
      <c r="M59" s="27"/>
    </row>
    <row r="60" spans="1:13">
      <c r="A60" s="13" t="s">
        <v>105</v>
      </c>
      <c r="B60" s="14" t="s">
        <v>70</v>
      </c>
      <c r="C60" s="15" t="s">
        <v>79</v>
      </c>
      <c r="D60" s="16">
        <v>1.6632979089209123</v>
      </c>
      <c r="E60" s="16">
        <v>677661.96274526056</v>
      </c>
      <c r="F60" s="16">
        <f t="shared" si="0"/>
        <v>13.049825063725176</v>
      </c>
      <c r="G60" s="13">
        <v>0.40100000000000002</v>
      </c>
      <c r="H60" s="13">
        <v>10</v>
      </c>
      <c r="I60" s="16">
        <f t="shared" si="1"/>
        <v>325.43204647693705</v>
      </c>
      <c r="J60" s="16">
        <v>5.6666666666666732</v>
      </c>
      <c r="K60" s="16">
        <f t="shared" si="2"/>
        <v>1844.1149300359787</v>
      </c>
      <c r="L60" s="16">
        <f t="shared" si="3"/>
        <v>1.8441149300359787</v>
      </c>
      <c r="M60" s="30">
        <f>AVERAGE(L60:L61)</f>
        <v>1.7648129503100285</v>
      </c>
    </row>
    <row r="61" spans="1:13">
      <c r="A61" s="13" t="s">
        <v>106</v>
      </c>
      <c r="B61" s="14" t="s">
        <v>70</v>
      </c>
      <c r="C61" s="15" t="s">
        <v>79</v>
      </c>
      <c r="D61" s="16">
        <v>1.597190111533098</v>
      </c>
      <c r="E61" s="16">
        <v>624642.96137878473</v>
      </c>
      <c r="F61" s="16">
        <f t="shared" si="0"/>
        <v>12.165423299450946</v>
      </c>
      <c r="G61" s="13">
        <v>0.40899999999999997</v>
      </c>
      <c r="H61" s="13">
        <v>10</v>
      </c>
      <c r="I61" s="16">
        <f t="shared" si="1"/>
        <v>297.44311245601341</v>
      </c>
      <c r="J61" s="16">
        <v>5.6666666666666732</v>
      </c>
      <c r="K61" s="16">
        <f t="shared" si="2"/>
        <v>1685.510970584078</v>
      </c>
      <c r="L61" s="16">
        <f t="shared" si="3"/>
        <v>1.6855109705840781</v>
      </c>
      <c r="M61" s="30"/>
    </row>
    <row r="62" spans="1:13">
      <c r="A62" s="21" t="s">
        <v>107</v>
      </c>
      <c r="B62" s="22" t="s">
        <v>73</v>
      </c>
      <c r="C62" s="23" t="s">
        <v>79</v>
      </c>
      <c r="D62" s="24">
        <v>1.8683333333333334</v>
      </c>
      <c r="E62" s="24">
        <v>774582.85512388253</v>
      </c>
      <c r="F62" s="24">
        <f t="shared" si="0"/>
        <v>14.666547484092854</v>
      </c>
      <c r="G62" s="21">
        <v>0.4</v>
      </c>
      <c r="H62" s="21">
        <v>10</v>
      </c>
      <c r="I62" s="24">
        <f t="shared" si="1"/>
        <v>366.66368710232132</v>
      </c>
      <c r="J62" s="24">
        <v>5.4444444444444509</v>
      </c>
      <c r="K62" s="24">
        <f t="shared" si="2"/>
        <v>1996.2800742237519</v>
      </c>
      <c r="L62" s="24">
        <f t="shared" si="3"/>
        <v>1.9962800742237519</v>
      </c>
      <c r="M62" s="28">
        <f>AVERAGE(L62:L63)</f>
        <v>1.983634797058059</v>
      </c>
    </row>
    <row r="63" spans="1:13">
      <c r="A63" s="21" t="s">
        <v>108</v>
      </c>
      <c r="B63" s="22" t="s">
        <v>73</v>
      </c>
      <c r="C63" s="23" t="s">
        <v>79</v>
      </c>
      <c r="D63" s="24">
        <v>1.7498486952863075</v>
      </c>
      <c r="E63" s="24">
        <v>774295.16510950949</v>
      </c>
      <c r="F63" s="24">
        <f t="shared" si="0"/>
        <v>14.661748571444219</v>
      </c>
      <c r="G63" s="21">
        <v>0.40500000000000003</v>
      </c>
      <c r="H63" s="21">
        <v>10</v>
      </c>
      <c r="I63" s="24">
        <f t="shared" si="1"/>
        <v>362.01848324553623</v>
      </c>
      <c r="J63" s="24">
        <v>5.4444444444444509</v>
      </c>
      <c r="K63" s="24">
        <f t="shared" si="2"/>
        <v>1970.9895198923662</v>
      </c>
      <c r="L63" s="24">
        <f t="shared" si="3"/>
        <v>1.9709895198923661</v>
      </c>
      <c r="M63" s="28"/>
    </row>
    <row r="64" spans="1:13">
      <c r="A64" s="17" t="s">
        <v>109</v>
      </c>
      <c r="B64" s="18" t="s">
        <v>76</v>
      </c>
      <c r="C64" s="19" t="s">
        <v>79</v>
      </c>
      <c r="D64" s="20">
        <v>1.6507895205031573</v>
      </c>
      <c r="E64" s="20">
        <v>610780.93429635186</v>
      </c>
      <c r="F64" s="20">
        <f t="shared" si="0"/>
        <v>11.934192968962815</v>
      </c>
      <c r="G64" s="17">
        <v>0.40699999999999997</v>
      </c>
      <c r="H64" s="17">
        <v>10</v>
      </c>
      <c r="I64" s="20">
        <f t="shared" si="1"/>
        <v>293.2234144708309</v>
      </c>
      <c r="J64" s="20">
        <v>8.2000000000000046</v>
      </c>
      <c r="K64" s="20">
        <f t="shared" si="2"/>
        <v>2404.4319986608148</v>
      </c>
      <c r="L64" s="20">
        <f t="shared" si="3"/>
        <v>2.4044319986608147</v>
      </c>
      <c r="M64" s="29">
        <f>AVERAGE(L64:L65)</f>
        <v>2.2351001513665931</v>
      </c>
    </row>
    <row r="65" spans="1:13">
      <c r="A65" s="17" t="s">
        <v>110</v>
      </c>
      <c r="B65" s="18" t="s">
        <v>76</v>
      </c>
      <c r="C65" s="19" t="s">
        <v>79</v>
      </c>
      <c r="D65" s="20">
        <v>1.5857900578060302</v>
      </c>
      <c r="E65" s="20">
        <v>505480.20244606287</v>
      </c>
      <c r="F65" s="20">
        <f t="shared" si="0"/>
        <v>10.177687742015094</v>
      </c>
      <c r="G65" s="17">
        <v>0.40400000000000003</v>
      </c>
      <c r="H65" s="17">
        <v>10</v>
      </c>
      <c r="I65" s="20">
        <f t="shared" si="1"/>
        <v>251.92296391126467</v>
      </c>
      <c r="J65" s="20">
        <v>8.2000000000000046</v>
      </c>
      <c r="K65" s="20">
        <f t="shared" si="2"/>
        <v>2065.7683040723714</v>
      </c>
      <c r="L65" s="20">
        <f t="shared" si="3"/>
        <v>2.0657683040723716</v>
      </c>
      <c r="M65" s="29"/>
    </row>
  </sheetData>
  <mergeCells count="34">
    <mergeCell ref="M64:M65"/>
    <mergeCell ref="M62:M63"/>
    <mergeCell ref="M60:M61"/>
    <mergeCell ref="M58:M59"/>
    <mergeCell ref="O4:O7"/>
    <mergeCell ref="O8:O11"/>
    <mergeCell ref="M30:M31"/>
    <mergeCell ref="M28:M29"/>
    <mergeCell ref="M56:M57"/>
    <mergeCell ref="M54:M55"/>
    <mergeCell ref="M52:M53"/>
    <mergeCell ref="M50:M51"/>
    <mergeCell ref="M48:M49"/>
    <mergeCell ref="M46:M47"/>
    <mergeCell ref="M44:M45"/>
    <mergeCell ref="M42:M43"/>
    <mergeCell ref="M40:M41"/>
    <mergeCell ref="M38:M39"/>
    <mergeCell ref="M36:M37"/>
    <mergeCell ref="M34:M35"/>
    <mergeCell ref="M32:M33"/>
    <mergeCell ref="M2:M3"/>
    <mergeCell ref="M26:M27"/>
    <mergeCell ref="M24:M25"/>
    <mergeCell ref="M22:M23"/>
    <mergeCell ref="M20:M21"/>
    <mergeCell ref="M18:M19"/>
    <mergeCell ref="M16:M17"/>
    <mergeCell ref="M14:M15"/>
    <mergeCell ref="M12:M13"/>
    <mergeCell ref="M10:M11"/>
    <mergeCell ref="M8:M9"/>
    <mergeCell ref="M6:M7"/>
    <mergeCell ref="M4:M5"/>
  </mergeCells>
  <pageMargins left="0.75" right="0.75" top="1" bottom="1" header="0" footer="0"/>
  <pageSetup paperSize="9" orientation="portrait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5500F6A16FD64C9D4F4E423018CF93" ma:contentTypeVersion="9" ma:contentTypeDescription="Create a new document." ma:contentTypeScope="" ma:versionID="81152291ca9f03ce1279c2bb790e8f33">
  <xsd:schema xmlns:xsd="http://www.w3.org/2001/XMLSchema" xmlns:xs="http://www.w3.org/2001/XMLSchema" xmlns:p="http://schemas.microsoft.com/office/2006/metadata/properties" xmlns:ns2="95c01ff0-70bc-4f44-a2de-2bde6a9d5bad" xmlns:ns3="ff137078-e90e-47d0-980e-c7e2ec898b8b" targetNamespace="http://schemas.microsoft.com/office/2006/metadata/properties" ma:root="true" ma:fieldsID="071fb82854a3a544faf26e4ee5a8df5a" ns2:_="" ns3:_="">
    <xsd:import namespace="95c01ff0-70bc-4f44-a2de-2bde6a9d5bad"/>
    <xsd:import namespace="ff137078-e90e-47d0-980e-c7e2ec898b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01ff0-70bc-4f44-a2de-2bde6a9d5b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3b0b881-3bf5-4493-8d21-dd6cf614d6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37078-e90e-47d0-980e-c7e2ec898b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70cbdc3-3477-4dbb-a727-ed67127719a9}" ma:internalName="TaxCatchAll" ma:showField="CatchAllData" ma:web="ff137078-e90e-47d0-980e-c7e2ec898b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c01ff0-70bc-4f44-a2de-2bde6a9d5bad">
      <Terms xmlns="http://schemas.microsoft.com/office/infopath/2007/PartnerControls"/>
    </lcf76f155ced4ddcb4097134ff3c332f>
    <TaxCatchAll xmlns="ff137078-e90e-47d0-980e-c7e2ec898b8b" xsi:nil="true"/>
  </documentManagement>
</p:properties>
</file>

<file path=customXml/itemProps1.xml><?xml version="1.0" encoding="utf-8"?>
<ds:datastoreItem xmlns:ds="http://schemas.openxmlformats.org/officeDocument/2006/customXml" ds:itemID="{69C72F93-2392-480F-9768-24AF3913CD67}"/>
</file>

<file path=customXml/itemProps2.xml><?xml version="1.0" encoding="utf-8"?>
<ds:datastoreItem xmlns:ds="http://schemas.openxmlformats.org/officeDocument/2006/customXml" ds:itemID="{7EDECC41-E700-43FA-B7D4-6E938BDA1798}"/>
</file>

<file path=customXml/itemProps3.xml><?xml version="1.0" encoding="utf-8"?>
<ds:datastoreItem xmlns:ds="http://schemas.openxmlformats.org/officeDocument/2006/customXml" ds:itemID="{A18249DF-4FFC-463C-8F2D-C114263A71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ub</dc:creator>
  <cp:keywords/>
  <dc:description/>
  <cp:lastModifiedBy>NANCY DONAJI SANCHEZ GARCIA</cp:lastModifiedBy>
  <cp:revision/>
  <dcterms:created xsi:type="dcterms:W3CDTF">2023-07-25T14:41:44Z</dcterms:created>
  <dcterms:modified xsi:type="dcterms:W3CDTF">2026-06-02T13:18:31Z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0x010100585500F6A16FD64C9D4F4E423018CF93</vt:lpwstr>
  </property>
</Properties>
</file>