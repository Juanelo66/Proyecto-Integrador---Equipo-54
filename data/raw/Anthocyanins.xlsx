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ina.ID73791\OneDrive - Universitat de Barcelona\HORTBIOSOL\Strawberry 2023\Data\"/>
    </mc:Choice>
  </mc:AlternateContent>
  <xr:revisionPtr revIDLastSave="7" documentId="8_{ABBC93AA-B8B7-440C-BF78-1E0025E0D84B}" xr6:coauthVersionLast="47" xr6:coauthVersionMax="47" xr10:uidLastSave="{0E828CFF-429A-4225-B616-40889FF4500E}"/>
  <bookViews>
    <workbookView xWindow="0" yWindow="0" windowWidth="19200" windowHeight="6825" firstSheet="1" activeTab="1" xr2:uid="{6E94B259-5B82-4627-8B3E-2F769BCBF493}"/>
  </bookViews>
  <sheets>
    <sheet name="Hoja1" sheetId="1" r:id="rId1"/>
    <sheet name="Cyanidin gluc" sheetId="2" r:id="rId2"/>
    <sheet name="Pelargonidin gluc" sheetId="3" r:id="rId3"/>
    <sheet name="Pelargonidin rutin" sheetId="4" r:id="rId4"/>
    <sheet name="RData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8" i="2" l="1"/>
  <c r="L78" i="2" s="1"/>
  <c r="F97" i="4" l="1"/>
  <c r="K97" i="4" s="1"/>
  <c r="L97" i="4" s="1"/>
  <c r="F96" i="4"/>
  <c r="K96" i="4" s="1"/>
  <c r="L96" i="4" s="1"/>
  <c r="F95" i="4"/>
  <c r="K95" i="4" s="1"/>
  <c r="L95" i="4" s="1"/>
  <c r="M95" i="4" s="1"/>
  <c r="F94" i="4"/>
  <c r="K94" i="4" s="1"/>
  <c r="L94" i="4" s="1"/>
  <c r="F93" i="4"/>
  <c r="K93" i="4" s="1"/>
  <c r="L93" i="4" s="1"/>
  <c r="F92" i="4"/>
  <c r="K92" i="4" s="1"/>
  <c r="L92" i="4" s="1"/>
  <c r="F91" i="4"/>
  <c r="K91" i="4" s="1"/>
  <c r="L91" i="4" s="1"/>
  <c r="F90" i="4"/>
  <c r="K90" i="4" s="1"/>
  <c r="L90" i="4" s="1"/>
  <c r="F89" i="4"/>
  <c r="K89" i="4" s="1"/>
  <c r="L89" i="4" s="1"/>
  <c r="F88" i="4"/>
  <c r="K88" i="4" s="1"/>
  <c r="L88" i="4" s="1"/>
  <c r="F87" i="4"/>
  <c r="K87" i="4" s="1"/>
  <c r="L87" i="4" s="1"/>
  <c r="F86" i="4"/>
  <c r="K86" i="4" s="1"/>
  <c r="L86" i="4" s="1"/>
  <c r="M86" i="4" s="1"/>
  <c r="F85" i="4"/>
  <c r="K85" i="4" s="1"/>
  <c r="L85" i="4" s="1"/>
  <c r="F84" i="4"/>
  <c r="K84" i="4" s="1"/>
  <c r="L84" i="4" s="1"/>
  <c r="F83" i="4"/>
  <c r="K83" i="4" s="1"/>
  <c r="L83" i="4" s="1"/>
  <c r="F82" i="4"/>
  <c r="K82" i="4" s="1"/>
  <c r="L82" i="4" s="1"/>
  <c r="F81" i="4"/>
  <c r="K81" i="4" s="1"/>
  <c r="L81" i="4" s="1"/>
  <c r="F80" i="4"/>
  <c r="K80" i="4" s="1"/>
  <c r="L80" i="4" s="1"/>
  <c r="M80" i="4" s="1"/>
  <c r="F79" i="4"/>
  <c r="K79" i="4" s="1"/>
  <c r="L79" i="4" s="1"/>
  <c r="F78" i="4"/>
  <c r="F77" i="4"/>
  <c r="K77" i="4" s="1"/>
  <c r="L77" i="4" s="1"/>
  <c r="M77" i="4" s="1"/>
  <c r="F76" i="4"/>
  <c r="K76" i="4" s="1"/>
  <c r="L76" i="4" s="1"/>
  <c r="F75" i="4"/>
  <c r="K75" i="4" s="1"/>
  <c r="L75" i="4" s="1"/>
  <c r="F74" i="4"/>
  <c r="K74" i="4" s="1"/>
  <c r="L74" i="4" s="1"/>
  <c r="F73" i="4"/>
  <c r="K73" i="4" s="1"/>
  <c r="L73" i="4" s="1"/>
  <c r="F72" i="4"/>
  <c r="K72" i="4" s="1"/>
  <c r="L72" i="4" s="1"/>
  <c r="F71" i="4"/>
  <c r="K71" i="4" s="1"/>
  <c r="L71" i="4" s="1"/>
  <c r="M71" i="4" s="1"/>
  <c r="F70" i="4"/>
  <c r="K70" i="4" s="1"/>
  <c r="L70" i="4" s="1"/>
  <c r="F69" i="4"/>
  <c r="K69" i="4" s="1"/>
  <c r="L69" i="4" s="1"/>
  <c r="F68" i="4"/>
  <c r="K68" i="4" s="1"/>
  <c r="L68" i="4" s="1"/>
  <c r="F67" i="4"/>
  <c r="K67" i="4" s="1"/>
  <c r="L67" i="4" s="1"/>
  <c r="F66" i="4"/>
  <c r="K66" i="4" s="1"/>
  <c r="L66" i="4" s="1"/>
  <c r="F65" i="4"/>
  <c r="K65" i="4" s="1"/>
  <c r="L65" i="4" s="1"/>
  <c r="F64" i="4"/>
  <c r="K64" i="4" s="1"/>
  <c r="L64" i="4" s="1"/>
  <c r="F63" i="4"/>
  <c r="K63" i="4" s="1"/>
  <c r="L63" i="4" s="1"/>
  <c r="F62" i="4"/>
  <c r="K62" i="4" s="1"/>
  <c r="L62" i="4" s="1"/>
  <c r="M62" i="4" s="1"/>
  <c r="F61" i="4"/>
  <c r="K61" i="4" s="1"/>
  <c r="L61" i="4" s="1"/>
  <c r="F60" i="4"/>
  <c r="K60" i="4" s="1"/>
  <c r="L60" i="4" s="1"/>
  <c r="F59" i="4"/>
  <c r="K59" i="4" s="1"/>
  <c r="L59" i="4" s="1"/>
  <c r="F58" i="4"/>
  <c r="K58" i="4" s="1"/>
  <c r="L58" i="4" s="1"/>
  <c r="F57" i="4"/>
  <c r="K57" i="4" s="1"/>
  <c r="L57" i="4" s="1"/>
  <c r="F56" i="4"/>
  <c r="K56" i="4" s="1"/>
  <c r="L56" i="4" s="1"/>
  <c r="F55" i="4"/>
  <c r="K55" i="4" s="1"/>
  <c r="L55" i="4" s="1"/>
  <c r="F54" i="4"/>
  <c r="K54" i="4" s="1"/>
  <c r="L54" i="4" s="1"/>
  <c r="F53" i="4"/>
  <c r="K53" i="4" s="1"/>
  <c r="L53" i="4" s="1"/>
  <c r="M53" i="4" s="1"/>
  <c r="F52" i="4"/>
  <c r="K52" i="4" s="1"/>
  <c r="L52" i="4" s="1"/>
  <c r="F51" i="4"/>
  <c r="K51" i="4" s="1"/>
  <c r="L51" i="4" s="1"/>
  <c r="F50" i="4"/>
  <c r="K50" i="4" s="1"/>
  <c r="L50" i="4" s="1"/>
  <c r="K49" i="4"/>
  <c r="L49" i="4" s="1"/>
  <c r="K48" i="4"/>
  <c r="L48" i="4" s="1"/>
  <c r="K47" i="4"/>
  <c r="L47" i="4" s="1"/>
  <c r="M47" i="4" s="1"/>
  <c r="K46" i="4"/>
  <c r="L46" i="4" s="1"/>
  <c r="K45" i="4"/>
  <c r="L45" i="4" s="1"/>
  <c r="K44" i="4"/>
  <c r="L44" i="4" s="1"/>
  <c r="M44" i="4" s="1"/>
  <c r="K43" i="4"/>
  <c r="L43" i="4" s="1"/>
  <c r="K42" i="4"/>
  <c r="L42" i="4" s="1"/>
  <c r="K41" i="4"/>
  <c r="L41" i="4" s="1"/>
  <c r="K40" i="4"/>
  <c r="L40" i="4" s="1"/>
  <c r="K39" i="4"/>
  <c r="L39" i="4" s="1"/>
  <c r="K38" i="4"/>
  <c r="L38" i="4" s="1"/>
  <c r="K37" i="4"/>
  <c r="L37" i="4" s="1"/>
  <c r="K36" i="4"/>
  <c r="L36" i="4" s="1"/>
  <c r="K35" i="4"/>
  <c r="L35" i="4" s="1"/>
  <c r="K34" i="4"/>
  <c r="L34" i="4" s="1"/>
  <c r="K33" i="4"/>
  <c r="L33" i="4" s="1"/>
  <c r="K32" i="4"/>
  <c r="L32" i="4" s="1"/>
  <c r="M32" i="4" s="1"/>
  <c r="K31" i="4"/>
  <c r="L31" i="4" s="1"/>
  <c r="K30" i="4"/>
  <c r="L30" i="4" s="1"/>
  <c r="K29" i="4"/>
  <c r="L29" i="4" s="1"/>
  <c r="M29" i="4" s="1"/>
  <c r="K28" i="4"/>
  <c r="L28" i="4" s="1"/>
  <c r="K27" i="4"/>
  <c r="L27" i="4" s="1"/>
  <c r="K26" i="4"/>
  <c r="L26" i="4" s="1"/>
  <c r="M26" i="4" s="1"/>
  <c r="K25" i="4"/>
  <c r="L25" i="4" s="1"/>
  <c r="K24" i="4"/>
  <c r="L24" i="4" s="1"/>
  <c r="K23" i="4"/>
  <c r="L23" i="4" s="1"/>
  <c r="K22" i="4"/>
  <c r="L22" i="4" s="1"/>
  <c r="K21" i="4"/>
  <c r="L21" i="4" s="1"/>
  <c r="K20" i="4"/>
  <c r="L20" i="4" s="1"/>
  <c r="K19" i="4"/>
  <c r="L19" i="4" s="1"/>
  <c r="K18" i="4"/>
  <c r="L18" i="4" s="1"/>
  <c r="K17" i="4"/>
  <c r="L17" i="4" s="1"/>
  <c r="K16" i="4"/>
  <c r="L16" i="4" s="1"/>
  <c r="K15" i="4"/>
  <c r="L15" i="4" s="1"/>
  <c r="K14" i="4"/>
  <c r="L14" i="4" s="1"/>
  <c r="K13" i="4"/>
  <c r="L13" i="4" s="1"/>
  <c r="K12" i="4"/>
  <c r="L12" i="4" s="1"/>
  <c r="K11" i="4"/>
  <c r="L11" i="4" s="1"/>
  <c r="M11" i="4" s="1"/>
  <c r="K10" i="4"/>
  <c r="L10" i="4" s="1"/>
  <c r="K9" i="4"/>
  <c r="L9" i="4" s="1"/>
  <c r="K8" i="4"/>
  <c r="L8" i="4" s="1"/>
  <c r="K7" i="4"/>
  <c r="L7" i="4" s="1"/>
  <c r="K6" i="4"/>
  <c r="L6" i="4" s="1"/>
  <c r="K5" i="4"/>
  <c r="L5" i="4" s="1"/>
  <c r="M5" i="4" s="1"/>
  <c r="K4" i="4"/>
  <c r="L4" i="4" s="1"/>
  <c r="K3" i="4"/>
  <c r="L3" i="4" s="1"/>
  <c r="K2" i="4"/>
  <c r="L2" i="4" s="1"/>
  <c r="F3" i="3"/>
  <c r="F4" i="3"/>
  <c r="F5" i="3"/>
  <c r="F6" i="3"/>
  <c r="F7" i="3"/>
  <c r="F8" i="3"/>
  <c r="F9" i="3"/>
  <c r="F10" i="3"/>
  <c r="F11" i="3"/>
  <c r="K11" i="3" s="1"/>
  <c r="L11" i="3" s="1"/>
  <c r="F12" i="3"/>
  <c r="K12" i="3" s="1"/>
  <c r="L12" i="3" s="1"/>
  <c r="F13" i="3"/>
  <c r="F14" i="3"/>
  <c r="K14" i="3" s="1"/>
  <c r="L14" i="3" s="1"/>
  <c r="F15" i="3"/>
  <c r="F16" i="3"/>
  <c r="F17" i="3"/>
  <c r="F18" i="3"/>
  <c r="F19" i="3"/>
  <c r="F20" i="3"/>
  <c r="F21" i="3"/>
  <c r="F22" i="3"/>
  <c r="F23" i="3"/>
  <c r="K23" i="3" s="1"/>
  <c r="L23" i="3" s="1"/>
  <c r="F24" i="3"/>
  <c r="K24" i="3" s="1"/>
  <c r="L24" i="3" s="1"/>
  <c r="F25" i="3"/>
  <c r="K25" i="3" s="1"/>
  <c r="L25" i="3" s="1"/>
  <c r="F26" i="3"/>
  <c r="K26" i="3" s="1"/>
  <c r="L26" i="3" s="1"/>
  <c r="F27" i="3"/>
  <c r="F28" i="3"/>
  <c r="F29" i="3"/>
  <c r="F30" i="3"/>
  <c r="F31" i="3"/>
  <c r="F32" i="3"/>
  <c r="F33" i="3"/>
  <c r="F34" i="3"/>
  <c r="F35" i="3"/>
  <c r="K35" i="3" s="1"/>
  <c r="L35" i="3" s="1"/>
  <c r="F36" i="3"/>
  <c r="K36" i="3" s="1"/>
  <c r="L36" i="3" s="1"/>
  <c r="F37" i="3"/>
  <c r="K37" i="3" s="1"/>
  <c r="L37" i="3" s="1"/>
  <c r="F38" i="3"/>
  <c r="K38" i="3" s="1"/>
  <c r="L38" i="3" s="1"/>
  <c r="F39" i="3"/>
  <c r="F40" i="3"/>
  <c r="F41" i="3"/>
  <c r="F42" i="3"/>
  <c r="F43" i="3"/>
  <c r="F44" i="3"/>
  <c r="F45" i="3"/>
  <c r="F46" i="3"/>
  <c r="F47" i="3"/>
  <c r="K47" i="3" s="1"/>
  <c r="L47" i="3" s="1"/>
  <c r="F48" i="3"/>
  <c r="K48" i="3" s="1"/>
  <c r="L48" i="3" s="1"/>
  <c r="F49" i="3"/>
  <c r="K49" i="3" s="1"/>
  <c r="L49" i="3" s="1"/>
  <c r="F50" i="3"/>
  <c r="K50" i="3" s="1"/>
  <c r="L50" i="3" s="1"/>
  <c r="F51" i="3"/>
  <c r="F52" i="3"/>
  <c r="F53" i="3"/>
  <c r="F54" i="3"/>
  <c r="F55" i="3"/>
  <c r="F56" i="3"/>
  <c r="F57" i="3"/>
  <c r="F58" i="3"/>
  <c r="F59" i="3"/>
  <c r="K59" i="3" s="1"/>
  <c r="L59" i="3" s="1"/>
  <c r="F60" i="3"/>
  <c r="K60" i="3" s="1"/>
  <c r="L60" i="3" s="1"/>
  <c r="F61" i="3"/>
  <c r="K61" i="3" s="1"/>
  <c r="L61" i="3" s="1"/>
  <c r="F62" i="3"/>
  <c r="K62" i="3" s="1"/>
  <c r="L62" i="3" s="1"/>
  <c r="F63" i="3"/>
  <c r="F64" i="3"/>
  <c r="F65" i="3"/>
  <c r="F66" i="3"/>
  <c r="F67" i="3"/>
  <c r="F68" i="3"/>
  <c r="F69" i="3"/>
  <c r="F70" i="3"/>
  <c r="F71" i="3"/>
  <c r="K71" i="3" s="1"/>
  <c r="L71" i="3" s="1"/>
  <c r="F72" i="3"/>
  <c r="K72" i="3" s="1"/>
  <c r="L72" i="3" s="1"/>
  <c r="F73" i="3"/>
  <c r="K73" i="3" s="1"/>
  <c r="L73" i="3" s="1"/>
  <c r="F74" i="3"/>
  <c r="K74" i="3" s="1"/>
  <c r="L74" i="3" s="1"/>
  <c r="F75" i="3"/>
  <c r="F76" i="3"/>
  <c r="F77" i="3"/>
  <c r="F78" i="3"/>
  <c r="F79" i="3"/>
  <c r="F80" i="3"/>
  <c r="F81" i="3"/>
  <c r="F82" i="3"/>
  <c r="F83" i="3"/>
  <c r="K83" i="3" s="1"/>
  <c r="L83" i="3" s="1"/>
  <c r="F84" i="3"/>
  <c r="K84" i="3" s="1"/>
  <c r="L84" i="3" s="1"/>
  <c r="F85" i="3"/>
  <c r="K85" i="3" s="1"/>
  <c r="L85" i="3" s="1"/>
  <c r="F86" i="3"/>
  <c r="K86" i="3" s="1"/>
  <c r="L86" i="3" s="1"/>
  <c r="F87" i="3"/>
  <c r="F88" i="3"/>
  <c r="F89" i="3"/>
  <c r="K89" i="3" s="1"/>
  <c r="L89" i="3" s="1"/>
  <c r="F90" i="3"/>
  <c r="K90" i="3" s="1"/>
  <c r="L90" i="3" s="1"/>
  <c r="F91" i="3"/>
  <c r="F92" i="3"/>
  <c r="F93" i="3"/>
  <c r="F94" i="3"/>
  <c r="F95" i="3"/>
  <c r="K95" i="3" s="1"/>
  <c r="L95" i="3" s="1"/>
  <c r="F96" i="3"/>
  <c r="K96" i="3" s="1"/>
  <c r="L96" i="3" s="1"/>
  <c r="F97" i="3"/>
  <c r="K97" i="3" s="1"/>
  <c r="L97" i="3" s="1"/>
  <c r="F2" i="3"/>
  <c r="K2" i="3" s="1"/>
  <c r="L2" i="3" s="1"/>
  <c r="K94" i="3"/>
  <c r="L94" i="3" s="1"/>
  <c r="K93" i="3"/>
  <c r="L93" i="3" s="1"/>
  <c r="K92" i="3"/>
  <c r="L92" i="3" s="1"/>
  <c r="K91" i="3"/>
  <c r="L91" i="3" s="1"/>
  <c r="K88" i="3"/>
  <c r="L88" i="3" s="1"/>
  <c r="K87" i="3"/>
  <c r="L87" i="3" s="1"/>
  <c r="K82" i="3"/>
  <c r="L82" i="3" s="1"/>
  <c r="K81" i="3"/>
  <c r="L81" i="3" s="1"/>
  <c r="K80" i="3"/>
  <c r="L80" i="3" s="1"/>
  <c r="M80" i="3" s="1"/>
  <c r="K79" i="3"/>
  <c r="L79" i="3" s="1"/>
  <c r="K77" i="3"/>
  <c r="L77" i="3" s="1"/>
  <c r="K76" i="3"/>
  <c r="L76" i="3" s="1"/>
  <c r="K75" i="3"/>
  <c r="L75" i="3" s="1"/>
  <c r="K70" i="3"/>
  <c r="L70" i="3" s="1"/>
  <c r="K69" i="3"/>
  <c r="L69" i="3" s="1"/>
  <c r="K68" i="3"/>
  <c r="L68" i="3" s="1"/>
  <c r="K67" i="3"/>
  <c r="L67" i="3" s="1"/>
  <c r="K66" i="3"/>
  <c r="L66" i="3" s="1"/>
  <c r="K65" i="3"/>
  <c r="L65" i="3" s="1"/>
  <c r="M65" i="3" s="1"/>
  <c r="K64" i="3"/>
  <c r="L64" i="3" s="1"/>
  <c r="K63" i="3"/>
  <c r="L63" i="3" s="1"/>
  <c r="K58" i="3"/>
  <c r="L58" i="3" s="1"/>
  <c r="K57" i="3"/>
  <c r="L57" i="3" s="1"/>
  <c r="K56" i="3"/>
  <c r="L56" i="3" s="1"/>
  <c r="M56" i="3" s="1"/>
  <c r="K55" i="3"/>
  <c r="L55" i="3" s="1"/>
  <c r="K54" i="3"/>
  <c r="L54" i="3" s="1"/>
  <c r="K53" i="3"/>
  <c r="L53" i="3" s="1"/>
  <c r="K52" i="3"/>
  <c r="L52" i="3" s="1"/>
  <c r="K51" i="3"/>
  <c r="L51" i="3" s="1"/>
  <c r="K46" i="3"/>
  <c r="L46" i="3" s="1"/>
  <c r="K45" i="3"/>
  <c r="L45" i="3" s="1"/>
  <c r="K44" i="3"/>
  <c r="L44" i="3" s="1"/>
  <c r="K43" i="3"/>
  <c r="L43" i="3" s="1"/>
  <c r="K42" i="3"/>
  <c r="L42" i="3" s="1"/>
  <c r="K41" i="3"/>
  <c r="L41" i="3" s="1"/>
  <c r="K40" i="3"/>
  <c r="L40" i="3" s="1"/>
  <c r="K39" i="3"/>
  <c r="L39" i="3" s="1"/>
  <c r="K34" i="3"/>
  <c r="L34" i="3" s="1"/>
  <c r="K33" i="3"/>
  <c r="L33" i="3" s="1"/>
  <c r="K32" i="3"/>
  <c r="L32" i="3" s="1"/>
  <c r="M32" i="3" s="1"/>
  <c r="K31" i="3"/>
  <c r="L31" i="3" s="1"/>
  <c r="K30" i="3"/>
  <c r="L30" i="3" s="1"/>
  <c r="K29" i="3"/>
  <c r="L29" i="3" s="1"/>
  <c r="K28" i="3"/>
  <c r="L28" i="3" s="1"/>
  <c r="K27" i="3"/>
  <c r="L27" i="3" s="1"/>
  <c r="K22" i="3"/>
  <c r="L22" i="3" s="1"/>
  <c r="K21" i="3"/>
  <c r="L21" i="3" s="1"/>
  <c r="K20" i="3"/>
  <c r="L20" i="3" s="1"/>
  <c r="K19" i="3"/>
  <c r="L19" i="3" s="1"/>
  <c r="K18" i="3"/>
  <c r="L18" i="3" s="1"/>
  <c r="K17" i="3"/>
  <c r="L17" i="3" s="1"/>
  <c r="K16" i="3"/>
  <c r="L16" i="3" s="1"/>
  <c r="K15" i="3"/>
  <c r="L15" i="3" s="1"/>
  <c r="K13" i="3"/>
  <c r="L13" i="3" s="1"/>
  <c r="K10" i="3"/>
  <c r="L10" i="3" s="1"/>
  <c r="K9" i="3"/>
  <c r="L9" i="3" s="1"/>
  <c r="K8" i="3"/>
  <c r="L8" i="3" s="1"/>
  <c r="M8" i="3" s="1"/>
  <c r="K7" i="3"/>
  <c r="L7" i="3" s="1"/>
  <c r="K6" i="3"/>
  <c r="L6" i="3" s="1"/>
  <c r="K5" i="3"/>
  <c r="L5" i="3" s="1"/>
  <c r="K4" i="3"/>
  <c r="L4" i="3" s="1"/>
  <c r="K3" i="3"/>
  <c r="L3" i="3" s="1"/>
  <c r="M74" i="3" l="1"/>
  <c r="M62" i="3"/>
  <c r="M59" i="3"/>
  <c r="M38" i="3"/>
  <c r="M26" i="3"/>
  <c r="M14" i="3"/>
  <c r="P10" i="4"/>
  <c r="Q10" i="4"/>
  <c r="M14" i="4"/>
  <c r="M2" i="4"/>
  <c r="M38" i="4"/>
  <c r="M89" i="4"/>
  <c r="M23" i="4"/>
  <c r="M8" i="4"/>
  <c r="M56" i="4"/>
  <c r="M65" i="4"/>
  <c r="M74" i="4"/>
  <c r="M83" i="4"/>
  <c r="M92" i="4"/>
  <c r="M17" i="4"/>
  <c r="M41" i="4"/>
  <c r="M50" i="4"/>
  <c r="M20" i="4"/>
  <c r="M59" i="4"/>
  <c r="M68" i="4"/>
  <c r="M35" i="4"/>
  <c r="M89" i="3"/>
  <c r="M47" i="3"/>
  <c r="M71" i="3"/>
  <c r="M83" i="3"/>
  <c r="M35" i="3"/>
  <c r="M68" i="3"/>
  <c r="M17" i="3"/>
  <c r="M53" i="3"/>
  <c r="M77" i="3"/>
  <c r="M95" i="3"/>
  <c r="M20" i="3"/>
  <c r="M2" i="3"/>
  <c r="M41" i="3"/>
  <c r="M11" i="3"/>
  <c r="M29" i="3"/>
  <c r="M50" i="3"/>
  <c r="M92" i="3"/>
  <c r="M23" i="3"/>
  <c r="M86" i="3"/>
  <c r="M5" i="3"/>
  <c r="M44" i="3"/>
  <c r="Q6" i="3" l="1"/>
  <c r="P6" i="3"/>
  <c r="Q5" i="3"/>
  <c r="P5" i="3"/>
  <c r="Q7" i="3"/>
  <c r="P7" i="3"/>
  <c r="Q4" i="3"/>
  <c r="P4" i="3"/>
  <c r="Q9" i="3"/>
  <c r="P9" i="3"/>
  <c r="Q10" i="3"/>
  <c r="P10" i="3"/>
  <c r="Q12" i="4"/>
  <c r="P12" i="4"/>
  <c r="Q6" i="4"/>
  <c r="P6" i="4"/>
  <c r="P11" i="4"/>
  <c r="Q11" i="4"/>
  <c r="P9" i="4"/>
  <c r="Q9" i="4"/>
  <c r="P4" i="4"/>
  <c r="P12" i="3"/>
  <c r="Q12" i="3"/>
  <c r="Q11" i="3"/>
  <c r="P11" i="3"/>
  <c r="Q7" i="4"/>
  <c r="Q5" i="4"/>
  <c r="P5" i="4"/>
  <c r="P7" i="4"/>
  <c r="F2" i="2" l="1"/>
  <c r="G2" i="2" s="1"/>
  <c r="L2" i="2" s="1"/>
  <c r="M2" i="2" s="1"/>
  <c r="F3" i="2"/>
  <c r="G3" i="2" s="1"/>
  <c r="L3" i="2" s="1"/>
  <c r="M3" i="2" s="1"/>
  <c r="F4" i="2"/>
  <c r="G4" i="2" s="1"/>
  <c r="L4" i="2" s="1"/>
  <c r="M4" i="2" s="1"/>
  <c r="F5" i="2"/>
  <c r="G5" i="2" s="1"/>
  <c r="L5" i="2" s="1"/>
  <c r="M5" i="2" s="1"/>
  <c r="F6" i="2"/>
  <c r="G6" i="2" s="1"/>
  <c r="L6" i="2" s="1"/>
  <c r="M6" i="2" s="1"/>
  <c r="F7" i="2"/>
  <c r="G7" i="2" s="1"/>
  <c r="L7" i="2" s="1"/>
  <c r="M7" i="2" s="1"/>
  <c r="F8" i="2"/>
  <c r="G8" i="2" s="1"/>
  <c r="L8" i="2" s="1"/>
  <c r="M8" i="2" s="1"/>
  <c r="F9" i="2"/>
  <c r="G9" i="2" s="1"/>
  <c r="L9" i="2" s="1"/>
  <c r="M9" i="2" s="1"/>
  <c r="F10" i="2"/>
  <c r="G10" i="2" s="1"/>
  <c r="L10" i="2" s="1"/>
  <c r="M10" i="2" s="1"/>
  <c r="F11" i="2"/>
  <c r="G11" i="2" s="1"/>
  <c r="L11" i="2" s="1"/>
  <c r="M11" i="2" s="1"/>
  <c r="F12" i="2"/>
  <c r="G12" i="2" s="1"/>
  <c r="L12" i="2" s="1"/>
  <c r="M12" i="2" s="1"/>
  <c r="F13" i="2"/>
  <c r="G13" i="2" s="1"/>
  <c r="L13" i="2" s="1"/>
  <c r="M13" i="2" s="1"/>
  <c r="F14" i="2"/>
  <c r="G14" i="2" s="1"/>
  <c r="L14" i="2" s="1"/>
  <c r="M14" i="2" s="1"/>
  <c r="F15" i="2"/>
  <c r="G15" i="2" s="1"/>
  <c r="L15" i="2" s="1"/>
  <c r="M15" i="2" s="1"/>
  <c r="F16" i="2"/>
  <c r="G16" i="2" s="1"/>
  <c r="L16" i="2" s="1"/>
  <c r="M16" i="2" s="1"/>
  <c r="F17" i="2"/>
  <c r="G17" i="2" s="1"/>
  <c r="L17" i="2" s="1"/>
  <c r="M17" i="2" s="1"/>
  <c r="F18" i="2"/>
  <c r="G18" i="2" s="1"/>
  <c r="L18" i="2" s="1"/>
  <c r="M18" i="2" s="1"/>
  <c r="F19" i="2"/>
  <c r="G19" i="2" s="1"/>
  <c r="L19" i="2" s="1"/>
  <c r="M19" i="2" s="1"/>
  <c r="F20" i="2"/>
  <c r="G20" i="2" s="1"/>
  <c r="L20" i="2" s="1"/>
  <c r="M20" i="2" s="1"/>
  <c r="F21" i="2"/>
  <c r="G21" i="2" s="1"/>
  <c r="L21" i="2" s="1"/>
  <c r="M21" i="2" s="1"/>
  <c r="F22" i="2"/>
  <c r="G22" i="2" s="1"/>
  <c r="L22" i="2" s="1"/>
  <c r="M22" i="2" s="1"/>
  <c r="F23" i="2"/>
  <c r="G23" i="2" s="1"/>
  <c r="L23" i="2" s="1"/>
  <c r="M23" i="2" s="1"/>
  <c r="F24" i="2"/>
  <c r="G24" i="2" s="1"/>
  <c r="L24" i="2" s="1"/>
  <c r="M24" i="2" s="1"/>
  <c r="F25" i="2"/>
  <c r="G25" i="2" s="1"/>
  <c r="L25" i="2" s="1"/>
  <c r="M25" i="2" s="1"/>
  <c r="F26" i="2"/>
  <c r="G26" i="2" s="1"/>
  <c r="L26" i="2" s="1"/>
  <c r="M26" i="2" s="1"/>
  <c r="F27" i="2"/>
  <c r="G27" i="2" s="1"/>
  <c r="L27" i="2" s="1"/>
  <c r="M27" i="2" s="1"/>
  <c r="F28" i="2"/>
  <c r="G28" i="2" s="1"/>
  <c r="L28" i="2" s="1"/>
  <c r="M28" i="2" s="1"/>
  <c r="F29" i="2"/>
  <c r="G29" i="2" s="1"/>
  <c r="L29" i="2" s="1"/>
  <c r="M29" i="2" s="1"/>
  <c r="F30" i="2"/>
  <c r="G30" i="2" s="1"/>
  <c r="L30" i="2" s="1"/>
  <c r="M30" i="2" s="1"/>
  <c r="F31" i="2"/>
  <c r="G31" i="2" s="1"/>
  <c r="L31" i="2" s="1"/>
  <c r="M31" i="2" s="1"/>
  <c r="F32" i="2"/>
  <c r="G32" i="2" s="1"/>
  <c r="L32" i="2" s="1"/>
  <c r="M32" i="2" s="1"/>
  <c r="F33" i="2"/>
  <c r="G33" i="2" s="1"/>
  <c r="L33" i="2" s="1"/>
  <c r="M33" i="2" s="1"/>
  <c r="F34" i="2"/>
  <c r="G34" i="2" s="1"/>
  <c r="L34" i="2" s="1"/>
  <c r="M34" i="2" s="1"/>
  <c r="F35" i="2"/>
  <c r="G35" i="2" s="1"/>
  <c r="L35" i="2" s="1"/>
  <c r="M35" i="2" s="1"/>
  <c r="F36" i="2"/>
  <c r="G36" i="2" s="1"/>
  <c r="L36" i="2" s="1"/>
  <c r="M36" i="2" s="1"/>
  <c r="F37" i="2"/>
  <c r="G37" i="2" s="1"/>
  <c r="L37" i="2" s="1"/>
  <c r="M37" i="2" s="1"/>
  <c r="F38" i="2"/>
  <c r="G38" i="2" s="1"/>
  <c r="L38" i="2" s="1"/>
  <c r="M38" i="2" s="1"/>
  <c r="F39" i="2"/>
  <c r="G39" i="2" s="1"/>
  <c r="L39" i="2" s="1"/>
  <c r="M39" i="2" s="1"/>
  <c r="F40" i="2"/>
  <c r="G40" i="2" s="1"/>
  <c r="L40" i="2" s="1"/>
  <c r="M40" i="2" s="1"/>
  <c r="F41" i="2"/>
  <c r="G41" i="2" s="1"/>
  <c r="L41" i="2" s="1"/>
  <c r="M41" i="2" s="1"/>
  <c r="F42" i="2"/>
  <c r="G42" i="2" s="1"/>
  <c r="L42" i="2" s="1"/>
  <c r="M42" i="2" s="1"/>
  <c r="F43" i="2"/>
  <c r="G43" i="2" s="1"/>
  <c r="L43" i="2" s="1"/>
  <c r="M43" i="2" s="1"/>
  <c r="F44" i="2"/>
  <c r="G44" i="2" s="1"/>
  <c r="L44" i="2" s="1"/>
  <c r="M44" i="2" s="1"/>
  <c r="F45" i="2"/>
  <c r="G45" i="2" s="1"/>
  <c r="L45" i="2" s="1"/>
  <c r="M45" i="2" s="1"/>
  <c r="F46" i="2"/>
  <c r="G46" i="2" s="1"/>
  <c r="L46" i="2" s="1"/>
  <c r="M46" i="2" s="1"/>
  <c r="F47" i="2"/>
  <c r="G47" i="2" s="1"/>
  <c r="L47" i="2" s="1"/>
  <c r="M47" i="2" s="1"/>
  <c r="F48" i="2"/>
  <c r="G48" i="2" s="1"/>
  <c r="L48" i="2" s="1"/>
  <c r="M48" i="2" s="1"/>
  <c r="F49" i="2"/>
  <c r="G49" i="2" s="1"/>
  <c r="L49" i="2" s="1"/>
  <c r="M49" i="2" s="1"/>
  <c r="F50" i="2"/>
  <c r="G50" i="2" s="1"/>
  <c r="L50" i="2" s="1"/>
  <c r="M50" i="2" s="1"/>
  <c r="F51" i="2"/>
  <c r="G51" i="2" s="1"/>
  <c r="L51" i="2" s="1"/>
  <c r="M51" i="2" s="1"/>
  <c r="F52" i="2"/>
  <c r="G52" i="2" s="1"/>
  <c r="L52" i="2" s="1"/>
  <c r="M52" i="2" s="1"/>
  <c r="F53" i="2"/>
  <c r="G53" i="2" s="1"/>
  <c r="L53" i="2" s="1"/>
  <c r="M53" i="2" s="1"/>
  <c r="F54" i="2"/>
  <c r="G54" i="2" s="1"/>
  <c r="L54" i="2" s="1"/>
  <c r="M54" i="2" s="1"/>
  <c r="F55" i="2"/>
  <c r="G55" i="2" s="1"/>
  <c r="L55" i="2" s="1"/>
  <c r="M55" i="2" s="1"/>
  <c r="F56" i="2"/>
  <c r="G56" i="2" s="1"/>
  <c r="L56" i="2" s="1"/>
  <c r="M56" i="2" s="1"/>
  <c r="F57" i="2"/>
  <c r="G57" i="2" s="1"/>
  <c r="L57" i="2" s="1"/>
  <c r="M57" i="2" s="1"/>
  <c r="F58" i="2"/>
  <c r="G58" i="2" s="1"/>
  <c r="L58" i="2" s="1"/>
  <c r="M58" i="2" s="1"/>
  <c r="F59" i="2"/>
  <c r="G59" i="2" s="1"/>
  <c r="L59" i="2" s="1"/>
  <c r="M59" i="2" s="1"/>
  <c r="F60" i="2"/>
  <c r="G60" i="2" s="1"/>
  <c r="L60" i="2" s="1"/>
  <c r="M60" i="2" s="1"/>
  <c r="F61" i="2"/>
  <c r="G61" i="2" s="1"/>
  <c r="L61" i="2" s="1"/>
  <c r="M61" i="2" s="1"/>
  <c r="F62" i="2"/>
  <c r="G62" i="2" s="1"/>
  <c r="L62" i="2" s="1"/>
  <c r="M62" i="2" s="1"/>
  <c r="F63" i="2"/>
  <c r="G63" i="2" s="1"/>
  <c r="L63" i="2" s="1"/>
  <c r="M63" i="2" s="1"/>
  <c r="F64" i="2"/>
  <c r="G64" i="2" s="1"/>
  <c r="L64" i="2" s="1"/>
  <c r="M64" i="2" s="1"/>
  <c r="F65" i="2"/>
  <c r="G65" i="2" s="1"/>
  <c r="L65" i="2" s="1"/>
  <c r="M65" i="2" s="1"/>
  <c r="F66" i="2"/>
  <c r="G66" i="2" s="1"/>
  <c r="L66" i="2" s="1"/>
  <c r="M66" i="2" s="1"/>
  <c r="F67" i="2"/>
  <c r="G67" i="2" s="1"/>
  <c r="L67" i="2" s="1"/>
  <c r="M67" i="2" s="1"/>
  <c r="F68" i="2"/>
  <c r="G68" i="2" s="1"/>
  <c r="L68" i="2" s="1"/>
  <c r="M68" i="2" s="1"/>
  <c r="F69" i="2"/>
  <c r="G69" i="2" s="1"/>
  <c r="L69" i="2" s="1"/>
  <c r="M69" i="2" s="1"/>
  <c r="F70" i="2"/>
  <c r="G70" i="2" s="1"/>
  <c r="L70" i="2" s="1"/>
  <c r="M70" i="2" s="1"/>
  <c r="F71" i="2"/>
  <c r="G71" i="2" s="1"/>
  <c r="L71" i="2" s="1"/>
  <c r="M71" i="2" s="1"/>
  <c r="F72" i="2"/>
  <c r="G72" i="2" s="1"/>
  <c r="L72" i="2" s="1"/>
  <c r="M72" i="2" s="1"/>
  <c r="F73" i="2"/>
  <c r="G73" i="2" s="1"/>
  <c r="L73" i="2" s="1"/>
  <c r="M73" i="2" s="1"/>
  <c r="F74" i="2"/>
  <c r="G74" i="2" s="1"/>
  <c r="L74" i="2" s="1"/>
  <c r="M74" i="2" s="1"/>
  <c r="F75" i="2"/>
  <c r="G75" i="2" s="1"/>
  <c r="L75" i="2" s="1"/>
  <c r="M75" i="2" s="1"/>
  <c r="F76" i="2"/>
  <c r="G76" i="2" s="1"/>
  <c r="L76" i="2" s="1"/>
  <c r="M76" i="2" s="1"/>
  <c r="F77" i="2"/>
  <c r="G77" i="2" s="1"/>
  <c r="L77" i="2" s="1"/>
  <c r="M77" i="2" s="1"/>
  <c r="F79" i="2"/>
  <c r="G79" i="2" s="1"/>
  <c r="L79" i="2" s="1"/>
  <c r="M79" i="2" s="1"/>
  <c r="F80" i="2"/>
  <c r="G80" i="2" s="1"/>
  <c r="L80" i="2" s="1"/>
  <c r="M80" i="2" s="1"/>
  <c r="F81" i="2"/>
  <c r="G81" i="2" s="1"/>
  <c r="L81" i="2" s="1"/>
  <c r="M81" i="2" s="1"/>
  <c r="F82" i="2"/>
  <c r="G82" i="2" s="1"/>
  <c r="L82" i="2" s="1"/>
  <c r="M82" i="2" s="1"/>
  <c r="F83" i="2"/>
  <c r="G83" i="2" s="1"/>
  <c r="L83" i="2" s="1"/>
  <c r="M83" i="2" s="1"/>
  <c r="F84" i="2"/>
  <c r="G84" i="2" s="1"/>
  <c r="L84" i="2" s="1"/>
  <c r="M84" i="2" s="1"/>
  <c r="F85" i="2"/>
  <c r="G85" i="2" s="1"/>
  <c r="L85" i="2" s="1"/>
  <c r="M85" i="2" s="1"/>
  <c r="F86" i="2"/>
  <c r="G86" i="2" s="1"/>
  <c r="L86" i="2" s="1"/>
  <c r="M86" i="2" s="1"/>
  <c r="F87" i="2"/>
  <c r="G87" i="2" s="1"/>
  <c r="L87" i="2" s="1"/>
  <c r="M87" i="2" s="1"/>
  <c r="F88" i="2"/>
  <c r="G88" i="2" s="1"/>
  <c r="L88" i="2" s="1"/>
  <c r="M88" i="2" s="1"/>
  <c r="F89" i="2"/>
  <c r="G89" i="2" s="1"/>
  <c r="L89" i="2" s="1"/>
  <c r="M89" i="2" s="1"/>
  <c r="F90" i="2"/>
  <c r="G90" i="2" s="1"/>
  <c r="L90" i="2" s="1"/>
  <c r="M90" i="2" s="1"/>
  <c r="F91" i="2"/>
  <c r="G91" i="2" s="1"/>
  <c r="L91" i="2" s="1"/>
  <c r="M91" i="2" s="1"/>
  <c r="F92" i="2"/>
  <c r="G92" i="2" s="1"/>
  <c r="L92" i="2" s="1"/>
  <c r="M92" i="2" s="1"/>
  <c r="F93" i="2"/>
  <c r="G93" i="2" s="1"/>
  <c r="L93" i="2" s="1"/>
  <c r="M93" i="2" s="1"/>
  <c r="F94" i="2"/>
  <c r="G94" i="2" s="1"/>
  <c r="L94" i="2" s="1"/>
  <c r="M94" i="2" s="1"/>
  <c r="F95" i="2"/>
  <c r="G95" i="2" s="1"/>
  <c r="L95" i="2" s="1"/>
  <c r="M95" i="2" s="1"/>
  <c r="F96" i="2"/>
  <c r="G96" i="2" s="1"/>
  <c r="L96" i="2" s="1"/>
  <c r="M96" i="2" s="1"/>
  <c r="F97" i="2"/>
  <c r="G97" i="2" s="1"/>
  <c r="L97" i="2" s="1"/>
  <c r="M97" i="2" s="1"/>
  <c r="N95" i="2" l="1"/>
  <c r="N92" i="2"/>
  <c r="N89" i="2"/>
  <c r="N86" i="2"/>
  <c r="N83" i="2"/>
  <c r="N80" i="2"/>
  <c r="N77" i="2"/>
  <c r="N74" i="2"/>
  <c r="N71" i="2"/>
  <c r="R10" i="2" s="1"/>
  <c r="N68" i="2"/>
  <c r="N65" i="2"/>
  <c r="N62" i="2"/>
  <c r="N59" i="2"/>
  <c r="N56" i="2"/>
  <c r="N53" i="2"/>
  <c r="N50" i="2"/>
  <c r="N47" i="2"/>
  <c r="N44" i="2"/>
  <c r="N41" i="2"/>
  <c r="N38" i="2"/>
  <c r="N35" i="2"/>
  <c r="N32" i="2"/>
  <c r="N29" i="2"/>
  <c r="N26" i="2"/>
  <c r="N23" i="2"/>
  <c r="N20" i="2"/>
  <c r="N17" i="2"/>
  <c r="N14" i="2"/>
  <c r="N11" i="2"/>
  <c r="N8" i="2"/>
  <c r="R5" i="2" s="1"/>
  <c r="N5" i="2"/>
  <c r="R6" i="2" s="1"/>
  <c r="N2" i="2"/>
  <c r="Q4" i="2" s="1"/>
  <c r="Q7" i="2" l="1"/>
  <c r="R7" i="2"/>
  <c r="R4" i="2"/>
  <c r="Q6" i="2"/>
  <c r="Q5" i="2"/>
  <c r="Q11" i="2"/>
  <c r="R11" i="2"/>
  <c r="R9" i="2"/>
  <c r="Q9" i="2"/>
  <c r="Q12" i="2"/>
  <c r="Q10" i="2"/>
  <c r="R12" i="2"/>
</calcChain>
</file>

<file path=xl/sharedStrings.xml><?xml version="1.0" encoding="utf-8"?>
<sst xmlns="http://schemas.openxmlformats.org/spreadsheetml/2006/main" count="2208" uniqueCount="146">
  <si>
    <t>Peak name</t>
  </si>
  <si>
    <t>Area</t>
  </si>
  <si>
    <t>Sample_55</t>
  </si>
  <si>
    <t/>
  </si>
  <si>
    <t>Sample_60</t>
  </si>
  <si>
    <t>Sample_59</t>
  </si>
  <si>
    <t>Sample_61</t>
  </si>
  <si>
    <t>Sample_62</t>
  </si>
  <si>
    <t>Sample_65</t>
  </si>
  <si>
    <t>Sample_66</t>
  </si>
  <si>
    <t>Sample_67</t>
  </si>
  <si>
    <t>Sample_1</t>
  </si>
  <si>
    <t>Cyanidin-gluc</t>
  </si>
  <si>
    <t>Sample_2</t>
  </si>
  <si>
    <t>Sample_3</t>
  </si>
  <si>
    <t>Sample_4</t>
  </si>
  <si>
    <t>Sample_5</t>
  </si>
  <si>
    <t>Sample_6</t>
  </si>
  <si>
    <t>Sample_7</t>
  </si>
  <si>
    <t>Sample_8</t>
  </si>
  <si>
    <t>Sample_9</t>
  </si>
  <si>
    <t>Sample_10</t>
  </si>
  <si>
    <t>Sample_11</t>
  </si>
  <si>
    <t>Sample_12</t>
  </si>
  <si>
    <t>Sample_13</t>
  </si>
  <si>
    <t>Sample_14</t>
  </si>
  <si>
    <t>Sample_15</t>
  </si>
  <si>
    <t>Sample_16</t>
  </si>
  <si>
    <t>Sample_17</t>
  </si>
  <si>
    <t>Sample_18</t>
  </si>
  <si>
    <t>Sample_19</t>
  </si>
  <si>
    <t>Sample_20</t>
  </si>
  <si>
    <t>Sample_21</t>
  </si>
  <si>
    <t>Sample_22</t>
  </si>
  <si>
    <t>Sample_23</t>
  </si>
  <si>
    <t>Sample_24</t>
  </si>
  <si>
    <t>Sample_25</t>
  </si>
  <si>
    <t>Sample_26</t>
  </si>
  <si>
    <t>Sample_27</t>
  </si>
  <si>
    <t>Sample_28</t>
  </si>
  <si>
    <t>Sample_29</t>
  </si>
  <si>
    <t>Sample_30</t>
  </si>
  <si>
    <t>Sample_31</t>
  </si>
  <si>
    <t>Sample_32</t>
  </si>
  <si>
    <t>Sample_33</t>
  </si>
  <si>
    <t>Sample_34</t>
  </si>
  <si>
    <t>Sample_35</t>
  </si>
  <si>
    <t>Sample_36</t>
  </si>
  <si>
    <t>Sample_37</t>
  </si>
  <si>
    <t>Sample_38</t>
  </si>
  <si>
    <t>Sample_39</t>
  </si>
  <si>
    <t>Sample_40</t>
  </si>
  <si>
    <t>Sample_41</t>
  </si>
  <si>
    <t>Sample_42</t>
  </si>
  <si>
    <t>Sample_43</t>
  </si>
  <si>
    <t>Sample_44</t>
  </si>
  <si>
    <t>Sample_45</t>
  </si>
  <si>
    <t>Sample_46</t>
  </si>
  <si>
    <t>Sample_47</t>
  </si>
  <si>
    <t>Sample_48</t>
  </si>
  <si>
    <t>Sample_49</t>
  </si>
  <si>
    <t>Sample_50</t>
  </si>
  <si>
    <t>Sample_51</t>
  </si>
  <si>
    <t>Sample_52</t>
  </si>
  <si>
    <t>Sample_53</t>
  </si>
  <si>
    <t>Sample_54</t>
  </si>
  <si>
    <t>Sample_56</t>
  </si>
  <si>
    <t>Sample_57</t>
  </si>
  <si>
    <t>Sample_58</t>
  </si>
  <si>
    <t>Sample_63</t>
  </si>
  <si>
    <t>Sample_64_Dream</t>
  </si>
  <si>
    <t>Sample_68</t>
  </si>
  <si>
    <t>Sample_69</t>
  </si>
  <si>
    <t>Sample_70</t>
  </si>
  <si>
    <t>Sample_71</t>
  </si>
  <si>
    <t>Sample_72</t>
  </si>
  <si>
    <t>Sample_73</t>
  </si>
  <si>
    <t>Sample_74</t>
  </si>
  <si>
    <t>Sample_75</t>
  </si>
  <si>
    <t>Sample_77</t>
  </si>
  <si>
    <t>Sample_78</t>
  </si>
  <si>
    <t>Sample_79</t>
  </si>
  <si>
    <t>Sample_81</t>
  </si>
  <si>
    <t>Sample_82</t>
  </si>
  <si>
    <t>Sample_83</t>
  </si>
  <si>
    <t>Sample_84</t>
  </si>
  <si>
    <t>Sample_85</t>
  </si>
  <si>
    <t>Sample_86</t>
  </si>
  <si>
    <t>Sample_87</t>
  </si>
  <si>
    <t>Sample_88</t>
  </si>
  <si>
    <t>Sample_89</t>
  </si>
  <si>
    <t>Sample_90</t>
  </si>
  <si>
    <t>Sample_91</t>
  </si>
  <si>
    <t>Sample_92</t>
  </si>
  <si>
    <t>Sample_93</t>
  </si>
  <si>
    <t>Sample_94</t>
  </si>
  <si>
    <t>Sample_95</t>
  </si>
  <si>
    <t>Sample_96</t>
  </si>
  <si>
    <t>Delphinidin</t>
  </si>
  <si>
    <t>Malvinidin</t>
  </si>
  <si>
    <t>Pelargonidin-gluc</t>
  </si>
  <si>
    <t>Pelargonidin-rut</t>
  </si>
  <si>
    <t>Sample</t>
  </si>
  <si>
    <t>Treat</t>
  </si>
  <si>
    <t>Cv</t>
  </si>
  <si>
    <t>mg/l</t>
  </si>
  <si>
    <t>mg/ml</t>
  </si>
  <si>
    <t>FW ext</t>
  </si>
  <si>
    <t>Vol (ml)</t>
  </si>
  <si>
    <t>FW (g)</t>
  </si>
  <si>
    <t>DW (g)</t>
  </si>
  <si>
    <t>ug/g FW extract</t>
  </si>
  <si>
    <t>ug/g DW</t>
  </si>
  <si>
    <t>Mean</t>
  </si>
  <si>
    <t>Cyanidin-3-O-glucoside</t>
  </si>
  <si>
    <t>T1R1</t>
  </si>
  <si>
    <t>DO</t>
  </si>
  <si>
    <t>Dona</t>
  </si>
  <si>
    <t>se</t>
  </si>
  <si>
    <t>T1</t>
  </si>
  <si>
    <t>T3R1</t>
  </si>
  <si>
    <t>T2</t>
  </si>
  <si>
    <t>T3</t>
  </si>
  <si>
    <t>T4</t>
  </si>
  <si>
    <t>T2R2</t>
  </si>
  <si>
    <t>Dream</t>
  </si>
  <si>
    <t>T4R2</t>
  </si>
  <si>
    <t>T3R3</t>
  </si>
  <si>
    <t>T1R3</t>
  </si>
  <si>
    <t>T4R4</t>
  </si>
  <si>
    <t>T2R4</t>
  </si>
  <si>
    <t>T3R4</t>
  </si>
  <si>
    <t>T1R4</t>
  </si>
  <si>
    <t>T2R3</t>
  </si>
  <si>
    <t>T4R3</t>
  </si>
  <si>
    <t>T1R2</t>
  </si>
  <si>
    <t>T3R2</t>
  </si>
  <si>
    <t>T4R1</t>
  </si>
  <si>
    <t>T2R1</t>
  </si>
  <si>
    <t>DR</t>
  </si>
  <si>
    <t xml:space="preserve">these samples degraded? For some reason… </t>
  </si>
  <si>
    <t>Sample_76</t>
  </si>
  <si>
    <t>NA</t>
  </si>
  <si>
    <t>ug/ml</t>
  </si>
  <si>
    <t>Pelargonidin-3-O-glucoside</t>
  </si>
  <si>
    <t>since there are the weird samples…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</si>
</sst>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4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2" borderId="0" xfId="0" applyFill="1"/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164" fontId="0" fillId="2" borderId="0" xfId="0" applyNumberFormat="1" applyFill="1"/>
    <xf numFmtId="164" fontId="0" fillId="0" borderId="0" xfId="0" applyNumberFormat="1"/>
    <xf numFmtId="0" fontId="2" fillId="0" borderId="0" xfId="0" applyFont="1"/>
    <xf numFmtId="164" fontId="2" fillId="0" borderId="0" xfId="0" applyNumberFormat="1" applyFont="1"/>
    <xf numFmtId="0" fontId="2" fillId="3" borderId="0" xfId="0" applyFont="1" applyFill="1"/>
    <xf numFmtId="0" fontId="0" fillId="3" borderId="0" xfId="0" applyFill="1"/>
    <xf numFmtId="165" fontId="0" fillId="3" borderId="0" xfId="0" applyNumberFormat="1" applyFill="1"/>
    <xf numFmtId="0" fontId="2" fillId="4" borderId="0" xfId="0" applyFont="1" applyFill="1"/>
    <xf numFmtId="0" fontId="0" fillId="4" borderId="0" xfId="0" applyFill="1"/>
    <xf numFmtId="165" fontId="0" fillId="4" borderId="0" xfId="0" applyNumberFormat="1" applyFill="1"/>
    <xf numFmtId="0" fontId="2" fillId="5" borderId="0" xfId="0" applyFont="1" applyFill="1"/>
    <xf numFmtId="0" fontId="0" fillId="5" borderId="0" xfId="0" applyFill="1"/>
    <xf numFmtId="165" fontId="0" fillId="5" borderId="0" xfId="0" applyNumberFormat="1" applyFill="1"/>
    <xf numFmtId="0" fontId="2" fillId="3" borderId="0" xfId="0" applyFont="1" applyFill="1" applyAlignment="1">
      <alignment horizontal="center"/>
    </xf>
    <xf numFmtId="16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DAEEF-4A19-4CF9-A776-0CB898E768BF}">
  <dimension ref="A1:C485"/>
  <sheetViews>
    <sheetView topLeftCell="A180" workbookViewId="0">
      <selection activeCell="C269" sqref="C269:C294"/>
    </sheetView>
  </sheetViews>
  <sheetFormatPr defaultColWidth="11.42578125" defaultRowHeight="15"/>
  <cols>
    <col min="2" max="2" width="16.28515625" customWidth="1"/>
  </cols>
  <sheetData>
    <row r="1" spans="1:3">
      <c r="B1" t="s">
        <v>0</v>
      </c>
      <c r="C1" t="s">
        <v>1</v>
      </c>
    </row>
    <row r="2" spans="1:3">
      <c r="A2" s="1" t="s">
        <v>2</v>
      </c>
      <c r="B2" s="1" t="s">
        <v>3</v>
      </c>
      <c r="C2" s="1">
        <v>3699.40368862991</v>
      </c>
    </row>
    <row r="3" spans="1:3">
      <c r="A3" s="1" t="s">
        <v>4</v>
      </c>
      <c r="B3" s="1" t="s">
        <v>3</v>
      </c>
      <c r="C3" s="1">
        <v>7510.1751007521207</v>
      </c>
    </row>
    <row r="4" spans="1:3">
      <c r="A4" s="1" t="s">
        <v>5</v>
      </c>
      <c r="B4" s="1" t="s">
        <v>3</v>
      </c>
      <c r="C4" s="1">
        <v>7884.4050174549111</v>
      </c>
    </row>
    <row r="5" spans="1:3">
      <c r="A5" s="1" t="s">
        <v>6</v>
      </c>
      <c r="B5" s="1" t="s">
        <v>3</v>
      </c>
      <c r="C5" s="1">
        <v>5511.164962535071</v>
      </c>
    </row>
    <row r="6" spans="1:3">
      <c r="A6" s="1" t="s">
        <v>7</v>
      </c>
      <c r="B6" s="1" t="s">
        <v>3</v>
      </c>
      <c r="C6" s="1">
        <v>6228.9501837236103</v>
      </c>
    </row>
    <row r="7" spans="1:3">
      <c r="A7" s="1" t="s">
        <v>8</v>
      </c>
      <c r="B7" s="1" t="s">
        <v>3</v>
      </c>
      <c r="C7" s="1">
        <v>8110.5199820875005</v>
      </c>
    </row>
    <row r="8" spans="1:3">
      <c r="A8" s="1" t="s">
        <v>9</v>
      </c>
      <c r="B8" s="1" t="s">
        <v>3</v>
      </c>
      <c r="C8" s="1">
        <v>8144.1601253647505</v>
      </c>
    </row>
    <row r="9" spans="1:3">
      <c r="A9" s="1" t="s">
        <v>10</v>
      </c>
      <c r="B9" s="1" t="s">
        <v>3</v>
      </c>
      <c r="C9" s="1">
        <v>5554.2898655118806</v>
      </c>
    </row>
    <row r="10" spans="1:3">
      <c r="A10" s="1" t="s">
        <v>11</v>
      </c>
      <c r="B10" s="1" t="s">
        <v>12</v>
      </c>
      <c r="C10" s="1">
        <v>9838.399672013471</v>
      </c>
    </row>
    <row r="11" spans="1:3">
      <c r="A11" s="1" t="s">
        <v>13</v>
      </c>
      <c r="B11" s="1" t="s">
        <v>12</v>
      </c>
      <c r="C11" s="1">
        <v>4718.4102093281599</v>
      </c>
    </row>
    <row r="12" spans="1:3">
      <c r="A12" s="1" t="s">
        <v>14</v>
      </c>
      <c r="B12" s="1" t="s">
        <v>12</v>
      </c>
      <c r="C12" s="1">
        <v>8657.1400531122217</v>
      </c>
    </row>
    <row r="13" spans="1:3">
      <c r="A13" s="1" t="s">
        <v>15</v>
      </c>
      <c r="B13" s="1" t="s">
        <v>12</v>
      </c>
      <c r="C13" s="1">
        <v>3555.6349964012402</v>
      </c>
    </row>
    <row r="14" spans="1:3">
      <c r="A14" s="1" t="s">
        <v>16</v>
      </c>
      <c r="B14" s="1" t="s">
        <v>12</v>
      </c>
      <c r="C14" s="1">
        <v>4667.7598731163898</v>
      </c>
    </row>
    <row r="15" spans="1:3">
      <c r="A15" s="1" t="s">
        <v>17</v>
      </c>
      <c r="B15" s="1" t="s">
        <v>12</v>
      </c>
      <c r="C15" s="1">
        <v>8553.7949840230212</v>
      </c>
    </row>
    <row r="16" spans="1:3">
      <c r="A16" s="1" t="s">
        <v>18</v>
      </c>
      <c r="B16" s="1" t="s">
        <v>12</v>
      </c>
      <c r="C16" s="1">
        <v>9677.0601522147408</v>
      </c>
    </row>
    <row r="17" spans="1:3">
      <c r="A17" s="1" t="s">
        <v>19</v>
      </c>
      <c r="B17" s="1" t="s">
        <v>12</v>
      </c>
      <c r="C17" s="1">
        <v>17026.364774656202</v>
      </c>
    </row>
    <row r="18" spans="1:3">
      <c r="A18" s="1" t="s">
        <v>20</v>
      </c>
      <c r="B18" s="1" t="s">
        <v>12</v>
      </c>
      <c r="C18" s="1">
        <v>11083.655705265999</v>
      </c>
    </row>
    <row r="19" spans="1:3">
      <c r="A19" s="1" t="s">
        <v>21</v>
      </c>
      <c r="B19" s="1" t="s">
        <v>12</v>
      </c>
      <c r="C19" s="1">
        <v>4000.6601891089699</v>
      </c>
    </row>
    <row r="20" spans="1:3">
      <c r="A20" s="1" t="s">
        <v>22</v>
      </c>
      <c r="B20" s="1" t="s">
        <v>12</v>
      </c>
      <c r="C20" s="1">
        <v>6339.3474570016506</v>
      </c>
    </row>
    <row r="21" spans="1:3">
      <c r="A21" s="1" t="s">
        <v>23</v>
      </c>
      <c r="B21" s="1" t="s">
        <v>12</v>
      </c>
      <c r="C21">
        <v>24109.892431712298</v>
      </c>
    </row>
    <row r="22" spans="1:3">
      <c r="A22" s="1" t="s">
        <v>24</v>
      </c>
      <c r="B22" s="1" t="s">
        <v>12</v>
      </c>
      <c r="C22" s="1">
        <v>2941.5752943949101</v>
      </c>
    </row>
    <row r="23" spans="1:3">
      <c r="A23" s="1" t="s">
        <v>25</v>
      </c>
      <c r="B23" s="1" t="s">
        <v>12</v>
      </c>
      <c r="C23" s="1">
        <v>2962.28478275524</v>
      </c>
    </row>
    <row r="24" spans="1:3">
      <c r="A24" s="1" t="s">
        <v>26</v>
      </c>
      <c r="B24" s="1" t="s">
        <v>12</v>
      </c>
      <c r="C24" s="1">
        <v>5569.40247441676</v>
      </c>
    </row>
    <row r="25" spans="1:3">
      <c r="A25" s="1" t="s">
        <v>27</v>
      </c>
      <c r="B25" s="1" t="s">
        <v>12</v>
      </c>
      <c r="C25" s="1">
        <v>16198.587470960099</v>
      </c>
    </row>
    <row r="26" spans="1:3">
      <c r="A26" s="1" t="s">
        <v>28</v>
      </c>
      <c r="B26" s="1" t="s">
        <v>12</v>
      </c>
      <c r="C26" s="1">
        <v>16464.084757622601</v>
      </c>
    </row>
    <row r="27" spans="1:3">
      <c r="A27" s="1" t="s">
        <v>29</v>
      </c>
      <c r="B27" s="1" t="s">
        <v>12</v>
      </c>
      <c r="C27" s="1">
        <v>22846.709906955301</v>
      </c>
    </row>
    <row r="28" spans="1:3">
      <c r="A28" s="1" t="s">
        <v>30</v>
      </c>
      <c r="B28" s="1" t="s">
        <v>12</v>
      </c>
      <c r="C28" s="1">
        <v>6480.37015528763</v>
      </c>
    </row>
    <row r="29" spans="1:3">
      <c r="A29" s="1" t="s">
        <v>31</v>
      </c>
      <c r="B29" s="1" t="s">
        <v>12</v>
      </c>
      <c r="C29" s="1">
        <v>6638.2272598300306</v>
      </c>
    </row>
    <row r="30" spans="1:3">
      <c r="A30" s="1" t="s">
        <v>32</v>
      </c>
      <c r="B30" s="1" t="s">
        <v>12</v>
      </c>
      <c r="C30" s="1">
        <v>6064.6799193573797</v>
      </c>
    </row>
    <row r="31" spans="1:3">
      <c r="A31" s="1" t="s">
        <v>33</v>
      </c>
      <c r="B31" s="1" t="s">
        <v>12</v>
      </c>
      <c r="C31" s="1">
        <v>5604.4154166173503</v>
      </c>
    </row>
    <row r="32" spans="1:3">
      <c r="A32" s="1" t="s">
        <v>34</v>
      </c>
      <c r="B32" s="1" t="s">
        <v>12</v>
      </c>
      <c r="C32" s="1">
        <v>6350.8399398232796</v>
      </c>
    </row>
    <row r="33" spans="1:3">
      <c r="A33" s="1" t="s">
        <v>35</v>
      </c>
      <c r="B33" s="1" t="s">
        <v>12</v>
      </c>
      <c r="C33" s="1">
        <v>8628.7049803588907</v>
      </c>
    </row>
    <row r="34" spans="1:3">
      <c r="A34" s="1" t="s">
        <v>36</v>
      </c>
      <c r="B34" s="1" t="s">
        <v>12</v>
      </c>
      <c r="C34" s="1">
        <v>11262.5276541073</v>
      </c>
    </row>
    <row r="35" spans="1:3">
      <c r="A35" s="1" t="s">
        <v>37</v>
      </c>
      <c r="B35" s="1" t="s">
        <v>12</v>
      </c>
      <c r="C35" s="1">
        <v>11091.1604398453</v>
      </c>
    </row>
    <row r="36" spans="1:3">
      <c r="A36" s="1" t="s">
        <v>38</v>
      </c>
      <c r="B36" s="1" t="s">
        <v>12</v>
      </c>
      <c r="C36" s="1">
        <v>14897.390114423499</v>
      </c>
    </row>
    <row r="37" spans="1:3">
      <c r="A37" s="1" t="s">
        <v>39</v>
      </c>
      <c r="B37" s="1" t="s">
        <v>12</v>
      </c>
      <c r="C37" s="1">
        <v>6283.0376513527108</v>
      </c>
    </row>
    <row r="38" spans="1:3">
      <c r="A38" s="1" t="s">
        <v>40</v>
      </c>
      <c r="B38" s="1" t="s">
        <v>12</v>
      </c>
      <c r="C38" s="1">
        <v>4785.0099770432098</v>
      </c>
    </row>
    <row r="39" spans="1:3">
      <c r="A39" s="1" t="s">
        <v>41</v>
      </c>
      <c r="B39" s="1" t="s">
        <v>12</v>
      </c>
      <c r="C39" s="1">
        <v>7552.3324085818604</v>
      </c>
    </row>
    <row r="40" spans="1:3">
      <c r="A40" s="1" t="s">
        <v>42</v>
      </c>
      <c r="B40" s="1" t="s">
        <v>12</v>
      </c>
      <c r="C40" s="1">
        <v>11059.9051295672</v>
      </c>
    </row>
    <row r="41" spans="1:3">
      <c r="A41" s="1" t="s">
        <v>43</v>
      </c>
      <c r="B41" s="1" t="s">
        <v>12</v>
      </c>
      <c r="C41" s="1">
        <v>9826.7603054901701</v>
      </c>
    </row>
    <row r="42" spans="1:3">
      <c r="A42" s="1" t="s">
        <v>44</v>
      </c>
      <c r="B42" s="1" t="s">
        <v>12</v>
      </c>
      <c r="C42" s="1">
        <v>9579.1573581873199</v>
      </c>
    </row>
    <row r="43" spans="1:3">
      <c r="A43" s="1" t="s">
        <v>45</v>
      </c>
      <c r="B43" s="1" t="s">
        <v>12</v>
      </c>
      <c r="C43" s="1">
        <v>16229.5903097432</v>
      </c>
    </row>
    <row r="44" spans="1:3">
      <c r="A44" s="1" t="s">
        <v>46</v>
      </c>
      <c r="B44" s="1" t="s">
        <v>12</v>
      </c>
      <c r="C44" s="1">
        <v>16384.830183235903</v>
      </c>
    </row>
    <row r="45" spans="1:3">
      <c r="A45" s="1" t="s">
        <v>47</v>
      </c>
      <c r="B45" s="1" t="s">
        <v>12</v>
      </c>
      <c r="C45" s="1">
        <v>13970.009955351799</v>
      </c>
    </row>
    <row r="46" spans="1:3">
      <c r="A46" s="1" t="s">
        <v>48</v>
      </c>
      <c r="B46" s="1" t="s">
        <v>12</v>
      </c>
      <c r="C46" s="1">
        <v>13852.3598764133</v>
      </c>
    </row>
    <row r="47" spans="1:3">
      <c r="A47" s="1" t="s">
        <v>49</v>
      </c>
      <c r="B47" s="1" t="s">
        <v>12</v>
      </c>
      <c r="C47" s="1">
        <v>14048.400186037099</v>
      </c>
    </row>
    <row r="48" spans="1:3">
      <c r="A48" s="1" t="s">
        <v>50</v>
      </c>
      <c r="B48" s="1" t="s">
        <v>12</v>
      </c>
      <c r="C48" s="1">
        <v>21176.499944918702</v>
      </c>
    </row>
    <row r="49" spans="1:3">
      <c r="A49" s="1" t="s">
        <v>51</v>
      </c>
      <c r="B49" s="1" t="s">
        <v>12</v>
      </c>
      <c r="C49" s="1">
        <v>18517.180031856202</v>
      </c>
    </row>
    <row r="50" spans="1:3">
      <c r="A50" s="1" t="s">
        <v>52</v>
      </c>
      <c r="B50" s="1" t="s">
        <v>12</v>
      </c>
      <c r="C50" s="1">
        <v>11361.247239575599</v>
      </c>
    </row>
    <row r="51" spans="1:3">
      <c r="A51" s="1" t="s">
        <v>53</v>
      </c>
      <c r="B51" s="1" t="s">
        <v>12</v>
      </c>
      <c r="C51" s="1">
        <v>14697.5148696586</v>
      </c>
    </row>
    <row r="52" spans="1:3">
      <c r="A52" s="1" t="s">
        <v>54</v>
      </c>
      <c r="B52" s="1" t="s">
        <v>12</v>
      </c>
      <c r="C52" s="1">
        <v>19635.5455412306</v>
      </c>
    </row>
    <row r="53" spans="1:3">
      <c r="A53" s="1" t="s">
        <v>55</v>
      </c>
      <c r="B53" s="1" t="s">
        <v>12</v>
      </c>
      <c r="C53" s="1">
        <v>10367.5503198977</v>
      </c>
    </row>
    <row r="54" spans="1:3">
      <c r="A54" s="1" t="s">
        <v>56</v>
      </c>
      <c r="B54" s="1" t="s">
        <v>12</v>
      </c>
      <c r="C54" s="1">
        <v>8780.364795877631</v>
      </c>
    </row>
    <row r="55" spans="1:3">
      <c r="A55" s="1" t="s">
        <v>57</v>
      </c>
      <c r="B55" s="1" t="s">
        <v>12</v>
      </c>
      <c r="C55" s="1">
        <v>11806.3302396416</v>
      </c>
    </row>
    <row r="56" spans="1:3">
      <c r="A56" s="1" t="s">
        <v>58</v>
      </c>
      <c r="B56" s="1" t="s">
        <v>12</v>
      </c>
      <c r="C56" s="1">
        <v>19307.500100874298</v>
      </c>
    </row>
    <row r="57" spans="1:3">
      <c r="A57" s="1" t="s">
        <v>59</v>
      </c>
      <c r="B57" s="1" t="s">
        <v>12</v>
      </c>
      <c r="C57" s="1">
        <v>11696.2724419921</v>
      </c>
    </row>
    <row r="58" spans="1:3">
      <c r="A58" s="1" t="s">
        <v>60</v>
      </c>
      <c r="B58" s="1" t="s">
        <v>12</v>
      </c>
      <c r="C58" s="1">
        <v>10442.6299996373</v>
      </c>
    </row>
    <row r="59" spans="1:3">
      <c r="A59" s="1" t="s">
        <v>61</v>
      </c>
      <c r="B59" s="1" t="s">
        <v>12</v>
      </c>
      <c r="C59" s="1">
        <v>13702.6975402602</v>
      </c>
    </row>
    <row r="60" spans="1:3">
      <c r="A60" s="1" t="s">
        <v>62</v>
      </c>
      <c r="B60" s="1" t="s">
        <v>12</v>
      </c>
      <c r="C60" s="1">
        <v>9191.0800283915796</v>
      </c>
    </row>
    <row r="61" spans="1:3">
      <c r="A61" s="1" t="s">
        <v>63</v>
      </c>
      <c r="B61" s="1" t="s">
        <v>12</v>
      </c>
      <c r="C61" s="1">
        <v>12329.0725952306</v>
      </c>
    </row>
    <row r="62" spans="1:3">
      <c r="A62" s="1" t="s">
        <v>64</v>
      </c>
      <c r="B62" s="1" t="s">
        <v>12</v>
      </c>
      <c r="C62" s="1">
        <v>11949.767871599401</v>
      </c>
    </row>
    <row r="63" spans="1:3">
      <c r="A63" s="1" t="s">
        <v>65</v>
      </c>
      <c r="B63" s="1" t="s">
        <v>12</v>
      </c>
      <c r="C63" s="1">
        <v>12311.3451072198</v>
      </c>
    </row>
    <row r="64" spans="1:3">
      <c r="A64" s="1" t="s">
        <v>2</v>
      </c>
      <c r="B64" s="1" t="s">
        <v>12</v>
      </c>
      <c r="C64" s="1">
        <v>6184.4000776339008</v>
      </c>
    </row>
    <row r="65" spans="1:3">
      <c r="A65" s="1" t="s">
        <v>2</v>
      </c>
      <c r="B65" s="1" t="s">
        <v>12</v>
      </c>
      <c r="C65" s="1">
        <v>6184.4000776339008</v>
      </c>
    </row>
    <row r="66" spans="1:3">
      <c r="A66" s="1" t="s">
        <v>66</v>
      </c>
      <c r="B66" s="1" t="s">
        <v>12</v>
      </c>
      <c r="C66" s="1">
        <v>10692.255091672499</v>
      </c>
    </row>
    <row r="67" spans="1:3">
      <c r="A67" s="1" t="s">
        <v>67</v>
      </c>
      <c r="B67" s="1" t="s">
        <v>12</v>
      </c>
      <c r="C67" s="1">
        <v>10806.359988349401</v>
      </c>
    </row>
    <row r="68" spans="1:3">
      <c r="A68" s="1" t="s">
        <v>68</v>
      </c>
      <c r="B68" s="1" t="s">
        <v>12</v>
      </c>
      <c r="C68" s="1">
        <v>10924.3124898634</v>
      </c>
    </row>
    <row r="69" spans="1:3">
      <c r="A69" s="1" t="s">
        <v>5</v>
      </c>
      <c r="B69" s="1" t="s">
        <v>12</v>
      </c>
      <c r="C69" s="1">
        <v>76231.225572490002</v>
      </c>
    </row>
    <row r="70" spans="1:3">
      <c r="A70" s="1" t="s">
        <v>4</v>
      </c>
      <c r="B70" s="1" t="s">
        <v>12</v>
      </c>
      <c r="C70" s="1">
        <v>90997.420427182791</v>
      </c>
    </row>
    <row r="71" spans="1:3">
      <c r="A71" s="1" t="s">
        <v>5</v>
      </c>
      <c r="B71" s="1" t="s">
        <v>12</v>
      </c>
      <c r="C71" s="1">
        <v>76231.225572490002</v>
      </c>
    </row>
    <row r="72" spans="1:3">
      <c r="A72" s="1" t="s">
        <v>6</v>
      </c>
      <c r="B72" s="1" t="s">
        <v>12</v>
      </c>
      <c r="C72" s="1">
        <v>71771.470118744706</v>
      </c>
    </row>
    <row r="73" spans="1:3">
      <c r="A73" s="1" t="s">
        <v>7</v>
      </c>
      <c r="B73" s="1" t="s">
        <v>12</v>
      </c>
      <c r="C73" s="1">
        <v>68906.35502855081</v>
      </c>
    </row>
    <row r="74" spans="1:3">
      <c r="A74" s="1" t="s">
        <v>69</v>
      </c>
      <c r="B74" s="1" t="s">
        <v>12</v>
      </c>
      <c r="C74" s="1">
        <v>86929.062501908498</v>
      </c>
    </row>
    <row r="75" spans="1:3">
      <c r="A75" s="1" t="s">
        <v>70</v>
      </c>
      <c r="B75" s="1" t="s">
        <v>12</v>
      </c>
      <c r="C75" s="1">
        <v>6489.9996436145002</v>
      </c>
    </row>
    <row r="76" spans="1:3">
      <c r="A76" s="1" t="s">
        <v>8</v>
      </c>
      <c r="B76" s="1" t="s">
        <v>12</v>
      </c>
      <c r="C76" s="1">
        <v>96971.577642482807</v>
      </c>
    </row>
    <row r="77" spans="1:3">
      <c r="A77" s="1" t="s">
        <v>9</v>
      </c>
      <c r="B77" s="1" t="s">
        <v>12</v>
      </c>
      <c r="C77" s="1">
        <v>87628.169896475607</v>
      </c>
    </row>
    <row r="78" spans="1:3">
      <c r="A78" s="1" t="s">
        <v>10</v>
      </c>
      <c r="B78" s="1" t="s">
        <v>12</v>
      </c>
      <c r="C78" s="1">
        <v>70899.755410907994</v>
      </c>
    </row>
    <row r="79" spans="1:3">
      <c r="A79" s="1" t="s">
        <v>71</v>
      </c>
      <c r="B79" s="1" t="s">
        <v>12</v>
      </c>
      <c r="C79" s="1">
        <v>83879.220515392502</v>
      </c>
    </row>
    <row r="80" spans="1:3">
      <c r="A80" s="1" t="s">
        <v>72</v>
      </c>
      <c r="B80" s="1" t="s">
        <v>12</v>
      </c>
      <c r="C80" s="1">
        <v>61240.859830904395</v>
      </c>
    </row>
    <row r="81" spans="1:3">
      <c r="A81" s="1" t="s">
        <v>73</v>
      </c>
      <c r="B81" s="1" t="s">
        <v>12</v>
      </c>
      <c r="C81" s="1">
        <v>93211.8791195136</v>
      </c>
    </row>
    <row r="82" spans="1:3">
      <c r="A82" s="1" t="s">
        <v>74</v>
      </c>
      <c r="B82" s="1" t="s">
        <v>12</v>
      </c>
      <c r="C82" s="1">
        <v>94321.770947464902</v>
      </c>
    </row>
    <row r="83" spans="1:3">
      <c r="A83" s="1" t="s">
        <v>75</v>
      </c>
      <c r="B83" s="1" t="s">
        <v>12</v>
      </c>
      <c r="C83" s="1">
        <v>168094.46614561699</v>
      </c>
    </row>
    <row r="84" spans="1:3">
      <c r="A84" s="1" t="s">
        <v>76</v>
      </c>
      <c r="B84" s="1" t="s">
        <v>12</v>
      </c>
      <c r="C84" s="1">
        <v>98733.384841315303</v>
      </c>
    </row>
    <row r="85" spans="1:3">
      <c r="A85" s="1" t="s">
        <v>77</v>
      </c>
      <c r="B85" s="1" t="s">
        <v>12</v>
      </c>
      <c r="C85" s="1">
        <v>120911.920732625</v>
      </c>
    </row>
    <row r="86" spans="1:3">
      <c r="A86" s="1" t="s">
        <v>78</v>
      </c>
      <c r="B86" s="1" t="s">
        <v>12</v>
      </c>
      <c r="C86" s="1">
        <v>124255.532828007</v>
      </c>
    </row>
    <row r="87" spans="1:3">
      <c r="A87" s="1" t="s">
        <v>79</v>
      </c>
      <c r="B87" s="1" t="s">
        <v>12</v>
      </c>
      <c r="C87" s="1">
        <v>69017.345064450798</v>
      </c>
    </row>
    <row r="88" spans="1:3">
      <c r="A88" s="1" t="s">
        <v>80</v>
      </c>
      <c r="B88" s="1" t="s">
        <v>12</v>
      </c>
      <c r="C88" s="1">
        <v>93067.100699139904</v>
      </c>
    </row>
    <row r="89" spans="1:3">
      <c r="A89" s="1" t="s">
        <v>81</v>
      </c>
      <c r="B89" s="1" t="s">
        <v>12</v>
      </c>
      <c r="C89" s="1">
        <v>87134.965551967209</v>
      </c>
    </row>
    <row r="90" spans="1:3">
      <c r="A90" s="1" t="s">
        <v>82</v>
      </c>
      <c r="B90" s="1" t="s">
        <v>12</v>
      </c>
      <c r="C90" s="1">
        <v>13577.899946442099</v>
      </c>
    </row>
    <row r="91" spans="1:3">
      <c r="A91" s="1" t="s">
        <v>83</v>
      </c>
      <c r="B91" s="1" t="s">
        <v>12</v>
      </c>
      <c r="C91" s="1">
        <v>69710.076668982409</v>
      </c>
    </row>
    <row r="92" spans="1:3">
      <c r="A92" s="1" t="s">
        <v>84</v>
      </c>
      <c r="B92" s="1" t="s">
        <v>12</v>
      </c>
      <c r="C92" s="1">
        <v>75783.777493121102</v>
      </c>
    </row>
    <row r="93" spans="1:3">
      <c r="A93" s="1" t="s">
        <v>85</v>
      </c>
      <c r="B93" s="1" t="s">
        <v>12</v>
      </c>
      <c r="C93" s="1">
        <v>77121.610349759794</v>
      </c>
    </row>
    <row r="94" spans="1:3">
      <c r="A94" s="1" t="s">
        <v>86</v>
      </c>
      <c r="B94" s="1" t="s">
        <v>12</v>
      </c>
      <c r="C94" s="1">
        <v>97436.010126606794</v>
      </c>
    </row>
    <row r="95" spans="1:3">
      <c r="A95" s="1" t="s">
        <v>87</v>
      </c>
      <c r="B95" s="1" t="s">
        <v>12</v>
      </c>
      <c r="C95" s="1">
        <v>93186.05504402901</v>
      </c>
    </row>
    <row r="96" spans="1:3">
      <c r="A96" s="1" t="s">
        <v>88</v>
      </c>
      <c r="B96" s="1" t="s">
        <v>12</v>
      </c>
      <c r="C96" s="1">
        <v>83738.705260125091</v>
      </c>
    </row>
    <row r="97" spans="1:3">
      <c r="A97" s="1" t="s">
        <v>89</v>
      </c>
      <c r="B97" s="1" t="s">
        <v>12</v>
      </c>
      <c r="C97" s="1">
        <v>87035.430260715613</v>
      </c>
    </row>
    <row r="98" spans="1:3">
      <c r="A98" s="1" t="s">
        <v>90</v>
      </c>
      <c r="B98" s="1" t="s">
        <v>12</v>
      </c>
      <c r="C98" s="1">
        <v>81162.467879391203</v>
      </c>
    </row>
    <row r="99" spans="1:3">
      <c r="A99" s="1" t="s">
        <v>91</v>
      </c>
      <c r="B99" s="1" t="s">
        <v>12</v>
      </c>
      <c r="C99" s="1">
        <v>110856.78532312</v>
      </c>
    </row>
    <row r="100" spans="1:3">
      <c r="A100" s="1" t="s">
        <v>92</v>
      </c>
      <c r="B100" s="1" t="s">
        <v>12</v>
      </c>
      <c r="C100" s="1">
        <v>86090.282478402602</v>
      </c>
    </row>
    <row r="101" spans="1:3">
      <c r="A101" s="1" t="s">
        <v>93</v>
      </c>
      <c r="B101" s="1" t="s">
        <v>12</v>
      </c>
      <c r="C101" s="1">
        <v>71307.927599385905</v>
      </c>
    </row>
    <row r="102" spans="1:3">
      <c r="A102" s="1" t="s">
        <v>94</v>
      </c>
      <c r="B102" s="1" t="s">
        <v>12</v>
      </c>
      <c r="C102" s="1">
        <v>71172.587803079208</v>
      </c>
    </row>
    <row r="103" spans="1:3">
      <c r="A103" s="1" t="s">
        <v>95</v>
      </c>
      <c r="B103" s="1" t="s">
        <v>12</v>
      </c>
      <c r="C103" s="1">
        <v>44065.969995747</v>
      </c>
    </row>
    <row r="104" spans="1:3">
      <c r="A104" s="1" t="s">
        <v>96</v>
      </c>
      <c r="B104" s="1" t="s">
        <v>12</v>
      </c>
      <c r="C104" s="1">
        <v>72745.392453837194</v>
      </c>
    </row>
    <row r="105" spans="1:3">
      <c r="A105" s="1" t="s">
        <v>97</v>
      </c>
      <c r="B105" s="1" t="s">
        <v>12</v>
      </c>
      <c r="C105" s="1">
        <v>78753.725342490099</v>
      </c>
    </row>
    <row r="106" spans="1:3">
      <c r="A106" s="1" t="s">
        <v>11</v>
      </c>
      <c r="B106" s="1" t="s">
        <v>98</v>
      </c>
      <c r="C106" s="1"/>
    </row>
    <row r="107" spans="1:3">
      <c r="A107" s="1" t="s">
        <v>13</v>
      </c>
      <c r="B107" s="1" t="s">
        <v>98</v>
      </c>
      <c r="C107" s="1"/>
    </row>
    <row r="108" spans="1:3">
      <c r="A108" s="1" t="s">
        <v>14</v>
      </c>
      <c r="B108" s="1" t="s">
        <v>98</v>
      </c>
      <c r="C108" s="1"/>
    </row>
    <row r="109" spans="1:3">
      <c r="A109" s="1" t="s">
        <v>15</v>
      </c>
      <c r="B109" s="1" t="s">
        <v>98</v>
      </c>
      <c r="C109" s="1"/>
    </row>
    <row r="110" spans="1:3">
      <c r="A110" s="1" t="s">
        <v>16</v>
      </c>
      <c r="B110" s="1" t="s">
        <v>98</v>
      </c>
      <c r="C110" s="1"/>
    </row>
    <row r="111" spans="1:3">
      <c r="A111" s="1" t="s">
        <v>17</v>
      </c>
      <c r="B111" s="1" t="s">
        <v>98</v>
      </c>
      <c r="C111" s="1"/>
    </row>
    <row r="112" spans="1:3">
      <c r="A112" s="1" t="s">
        <v>18</v>
      </c>
      <c r="B112" s="1" t="s">
        <v>98</v>
      </c>
      <c r="C112" s="1"/>
    </row>
    <row r="113" spans="1:3">
      <c r="A113" s="1" t="s">
        <v>19</v>
      </c>
      <c r="B113" s="1" t="s">
        <v>98</v>
      </c>
      <c r="C113" s="1"/>
    </row>
    <row r="114" spans="1:3">
      <c r="A114" s="1" t="s">
        <v>20</v>
      </c>
      <c r="B114" s="1" t="s">
        <v>98</v>
      </c>
      <c r="C114" s="1"/>
    </row>
    <row r="115" spans="1:3">
      <c r="A115" s="1" t="s">
        <v>21</v>
      </c>
      <c r="B115" s="1" t="s">
        <v>98</v>
      </c>
      <c r="C115" s="1"/>
    </row>
    <row r="116" spans="1:3">
      <c r="A116" s="1" t="s">
        <v>22</v>
      </c>
      <c r="B116" s="1" t="s">
        <v>98</v>
      </c>
      <c r="C116" s="1"/>
    </row>
    <row r="117" spans="1:3">
      <c r="A117" s="1" t="s">
        <v>24</v>
      </c>
      <c r="B117" s="1" t="s">
        <v>98</v>
      </c>
      <c r="C117" s="1"/>
    </row>
    <row r="118" spans="1:3">
      <c r="A118" s="1" t="s">
        <v>25</v>
      </c>
      <c r="B118" s="1" t="s">
        <v>98</v>
      </c>
      <c r="C118" s="1"/>
    </row>
    <row r="119" spans="1:3">
      <c r="A119" s="1" t="s">
        <v>26</v>
      </c>
      <c r="B119" s="1" t="s">
        <v>98</v>
      </c>
      <c r="C119" s="1"/>
    </row>
    <row r="120" spans="1:3">
      <c r="A120" s="1" t="s">
        <v>27</v>
      </c>
      <c r="B120" s="1" t="s">
        <v>98</v>
      </c>
      <c r="C120" s="1"/>
    </row>
    <row r="121" spans="1:3">
      <c r="A121" s="1" t="s">
        <v>28</v>
      </c>
      <c r="B121" s="1" t="s">
        <v>98</v>
      </c>
      <c r="C121" s="1"/>
    </row>
    <row r="122" spans="1:3">
      <c r="A122" s="1" t="s">
        <v>29</v>
      </c>
      <c r="B122" s="1" t="s">
        <v>98</v>
      </c>
      <c r="C122" s="1"/>
    </row>
    <row r="123" spans="1:3">
      <c r="A123" s="1" t="s">
        <v>30</v>
      </c>
      <c r="B123" s="1" t="s">
        <v>98</v>
      </c>
      <c r="C123" s="1"/>
    </row>
    <row r="124" spans="1:3">
      <c r="A124" s="1" t="s">
        <v>31</v>
      </c>
      <c r="B124" s="1" t="s">
        <v>98</v>
      </c>
      <c r="C124" s="1"/>
    </row>
    <row r="125" spans="1:3">
      <c r="A125" s="1" t="s">
        <v>32</v>
      </c>
      <c r="B125" s="1" t="s">
        <v>98</v>
      </c>
      <c r="C125" s="1"/>
    </row>
    <row r="126" spans="1:3">
      <c r="A126" s="1" t="s">
        <v>33</v>
      </c>
      <c r="B126" s="1" t="s">
        <v>98</v>
      </c>
      <c r="C126" s="1"/>
    </row>
    <row r="127" spans="1:3">
      <c r="A127" s="1" t="s">
        <v>34</v>
      </c>
      <c r="B127" s="1" t="s">
        <v>98</v>
      </c>
      <c r="C127" s="1"/>
    </row>
    <row r="128" spans="1:3">
      <c r="A128" s="1" t="s">
        <v>35</v>
      </c>
      <c r="B128" s="1" t="s">
        <v>98</v>
      </c>
      <c r="C128" s="1"/>
    </row>
    <row r="129" spans="1:3">
      <c r="A129" s="1" t="s">
        <v>36</v>
      </c>
      <c r="B129" s="1" t="s">
        <v>98</v>
      </c>
      <c r="C129" s="1"/>
    </row>
    <row r="130" spans="1:3">
      <c r="A130" s="1" t="s">
        <v>37</v>
      </c>
      <c r="B130" s="1" t="s">
        <v>98</v>
      </c>
      <c r="C130" s="1"/>
    </row>
    <row r="131" spans="1:3">
      <c r="A131" s="1" t="s">
        <v>38</v>
      </c>
      <c r="B131" s="1" t="s">
        <v>98</v>
      </c>
      <c r="C131" s="1"/>
    </row>
    <row r="132" spans="1:3">
      <c r="A132" s="1" t="s">
        <v>39</v>
      </c>
      <c r="B132" s="1" t="s">
        <v>98</v>
      </c>
      <c r="C132" s="1"/>
    </row>
    <row r="133" spans="1:3">
      <c r="A133" s="1" t="s">
        <v>40</v>
      </c>
      <c r="B133" s="1" t="s">
        <v>98</v>
      </c>
      <c r="C133" s="1"/>
    </row>
    <row r="134" spans="1:3">
      <c r="A134" s="1" t="s">
        <v>41</v>
      </c>
      <c r="B134" s="1" t="s">
        <v>98</v>
      </c>
      <c r="C134" s="1"/>
    </row>
    <row r="135" spans="1:3">
      <c r="A135" s="1" t="s">
        <v>42</v>
      </c>
      <c r="B135" s="1" t="s">
        <v>98</v>
      </c>
      <c r="C135" s="1"/>
    </row>
    <row r="136" spans="1:3">
      <c r="A136" s="1" t="s">
        <v>43</v>
      </c>
      <c r="B136" s="1" t="s">
        <v>98</v>
      </c>
      <c r="C136" s="1"/>
    </row>
    <row r="137" spans="1:3">
      <c r="A137" s="1" t="s">
        <v>44</v>
      </c>
      <c r="B137" s="1" t="s">
        <v>98</v>
      </c>
      <c r="C137" s="1"/>
    </row>
    <row r="138" spans="1:3">
      <c r="A138" s="1" t="s">
        <v>45</v>
      </c>
      <c r="B138" s="1" t="s">
        <v>98</v>
      </c>
      <c r="C138" s="1"/>
    </row>
    <row r="139" spans="1:3">
      <c r="A139" s="1" t="s">
        <v>46</v>
      </c>
      <c r="B139" s="1" t="s">
        <v>98</v>
      </c>
      <c r="C139" s="1"/>
    </row>
    <row r="140" spans="1:3">
      <c r="A140" s="1" t="s">
        <v>47</v>
      </c>
      <c r="B140" s="1" t="s">
        <v>98</v>
      </c>
      <c r="C140" s="1"/>
    </row>
    <row r="141" spans="1:3">
      <c r="A141" s="1" t="s">
        <v>48</v>
      </c>
      <c r="B141" s="1" t="s">
        <v>98</v>
      </c>
      <c r="C141" s="1"/>
    </row>
    <row r="142" spans="1:3">
      <c r="A142" s="1" t="s">
        <v>49</v>
      </c>
      <c r="B142" s="1" t="s">
        <v>98</v>
      </c>
      <c r="C142" s="1"/>
    </row>
    <row r="143" spans="1:3">
      <c r="A143" s="1" t="s">
        <v>50</v>
      </c>
      <c r="B143" s="1" t="s">
        <v>98</v>
      </c>
      <c r="C143" s="1"/>
    </row>
    <row r="144" spans="1:3">
      <c r="A144" s="1" t="s">
        <v>51</v>
      </c>
      <c r="B144" s="1" t="s">
        <v>98</v>
      </c>
      <c r="C144" s="1"/>
    </row>
    <row r="145" spans="1:3">
      <c r="A145" s="1" t="s">
        <v>52</v>
      </c>
      <c r="B145" s="1" t="s">
        <v>98</v>
      </c>
      <c r="C145" s="1"/>
    </row>
    <row r="146" spans="1:3">
      <c r="A146" s="1" t="s">
        <v>53</v>
      </c>
      <c r="B146" s="1" t="s">
        <v>98</v>
      </c>
      <c r="C146" s="1"/>
    </row>
    <row r="147" spans="1:3">
      <c r="A147" s="1" t="s">
        <v>54</v>
      </c>
      <c r="B147" s="1" t="s">
        <v>98</v>
      </c>
      <c r="C147" s="1"/>
    </row>
    <row r="148" spans="1:3">
      <c r="A148" s="1" t="s">
        <v>55</v>
      </c>
      <c r="B148" s="1" t="s">
        <v>98</v>
      </c>
      <c r="C148" s="1"/>
    </row>
    <row r="149" spans="1:3">
      <c r="A149" s="1" t="s">
        <v>56</v>
      </c>
      <c r="B149" s="1" t="s">
        <v>98</v>
      </c>
      <c r="C149" s="1"/>
    </row>
    <row r="150" spans="1:3">
      <c r="A150" s="1" t="s">
        <v>57</v>
      </c>
      <c r="B150" s="1" t="s">
        <v>98</v>
      </c>
      <c r="C150" s="1"/>
    </row>
    <row r="151" spans="1:3">
      <c r="A151" s="1" t="s">
        <v>58</v>
      </c>
      <c r="B151" s="1" t="s">
        <v>98</v>
      </c>
      <c r="C151" s="1"/>
    </row>
    <row r="152" spans="1:3">
      <c r="A152" s="1" t="s">
        <v>59</v>
      </c>
      <c r="B152" s="1" t="s">
        <v>98</v>
      </c>
      <c r="C152" s="1"/>
    </row>
    <row r="153" spans="1:3">
      <c r="A153" s="1" t="s">
        <v>60</v>
      </c>
      <c r="B153" s="1" t="s">
        <v>98</v>
      </c>
      <c r="C153" s="1"/>
    </row>
    <row r="154" spans="1:3">
      <c r="A154" s="1" t="s">
        <v>61</v>
      </c>
      <c r="B154" s="1" t="s">
        <v>98</v>
      </c>
      <c r="C154" s="1"/>
    </row>
    <row r="155" spans="1:3">
      <c r="A155" s="1" t="s">
        <v>62</v>
      </c>
      <c r="B155" s="1" t="s">
        <v>98</v>
      </c>
      <c r="C155" s="1"/>
    </row>
    <row r="156" spans="1:3">
      <c r="A156" s="1" t="s">
        <v>63</v>
      </c>
      <c r="B156" s="1" t="s">
        <v>98</v>
      </c>
      <c r="C156" s="1"/>
    </row>
    <row r="157" spans="1:3">
      <c r="A157" s="1" t="s">
        <v>64</v>
      </c>
      <c r="B157" s="1" t="s">
        <v>98</v>
      </c>
      <c r="C157" s="1"/>
    </row>
    <row r="158" spans="1:3">
      <c r="A158" s="1" t="s">
        <v>65</v>
      </c>
      <c r="B158" s="1" t="s">
        <v>98</v>
      </c>
      <c r="C158" s="1"/>
    </row>
    <row r="159" spans="1:3">
      <c r="A159" s="1" t="s">
        <v>2</v>
      </c>
      <c r="B159" s="1" t="s">
        <v>98</v>
      </c>
      <c r="C159" s="1"/>
    </row>
    <row r="160" spans="1:3">
      <c r="A160" s="1" t="s">
        <v>2</v>
      </c>
      <c r="B160" s="1" t="s">
        <v>98</v>
      </c>
      <c r="C160" s="1"/>
    </row>
    <row r="161" spans="1:3">
      <c r="A161" s="1" t="s">
        <v>66</v>
      </c>
      <c r="B161" s="1" t="s">
        <v>98</v>
      </c>
      <c r="C161" s="1"/>
    </row>
    <row r="162" spans="1:3">
      <c r="A162" s="1" t="s">
        <v>67</v>
      </c>
      <c r="B162" s="1" t="s">
        <v>98</v>
      </c>
      <c r="C162" s="1"/>
    </row>
    <row r="163" spans="1:3">
      <c r="A163" s="1" t="s">
        <v>68</v>
      </c>
      <c r="B163" s="1" t="s">
        <v>98</v>
      </c>
      <c r="C163" s="1"/>
    </row>
    <row r="164" spans="1:3">
      <c r="A164" s="1" t="s">
        <v>5</v>
      </c>
      <c r="B164" s="1" t="s">
        <v>98</v>
      </c>
      <c r="C164" s="1"/>
    </row>
    <row r="165" spans="1:3">
      <c r="A165" s="1" t="s">
        <v>4</v>
      </c>
      <c r="B165" s="1" t="s">
        <v>98</v>
      </c>
      <c r="C165" s="1"/>
    </row>
    <row r="166" spans="1:3">
      <c r="A166" s="1" t="s">
        <v>5</v>
      </c>
      <c r="B166" s="1" t="s">
        <v>98</v>
      </c>
      <c r="C166" s="1"/>
    </row>
    <row r="167" spans="1:3">
      <c r="A167" s="1" t="s">
        <v>6</v>
      </c>
      <c r="B167" s="1" t="s">
        <v>98</v>
      </c>
      <c r="C167" s="1"/>
    </row>
    <row r="168" spans="1:3">
      <c r="A168" s="1" t="s">
        <v>7</v>
      </c>
      <c r="B168" s="1" t="s">
        <v>98</v>
      </c>
      <c r="C168" s="1"/>
    </row>
    <row r="169" spans="1:3">
      <c r="A169" s="1" t="s">
        <v>69</v>
      </c>
      <c r="B169" s="1" t="s">
        <v>98</v>
      </c>
      <c r="C169" s="1"/>
    </row>
    <row r="170" spans="1:3">
      <c r="A170" s="1" t="s">
        <v>70</v>
      </c>
      <c r="B170" s="1" t="s">
        <v>98</v>
      </c>
      <c r="C170" s="1"/>
    </row>
    <row r="171" spans="1:3">
      <c r="A171" s="1" t="s">
        <v>8</v>
      </c>
      <c r="B171" s="1" t="s">
        <v>98</v>
      </c>
      <c r="C171" s="1"/>
    </row>
    <row r="172" spans="1:3">
      <c r="A172" s="1" t="s">
        <v>9</v>
      </c>
      <c r="B172" s="1" t="s">
        <v>98</v>
      </c>
      <c r="C172" s="1"/>
    </row>
    <row r="173" spans="1:3">
      <c r="A173" s="1" t="s">
        <v>10</v>
      </c>
      <c r="B173" s="1" t="s">
        <v>98</v>
      </c>
      <c r="C173" s="1"/>
    </row>
    <row r="174" spans="1:3">
      <c r="A174" s="1" t="s">
        <v>71</v>
      </c>
      <c r="B174" s="1" t="s">
        <v>98</v>
      </c>
      <c r="C174" s="1"/>
    </row>
    <row r="175" spans="1:3">
      <c r="A175" s="1" t="s">
        <v>72</v>
      </c>
      <c r="B175" s="1" t="s">
        <v>98</v>
      </c>
      <c r="C175" s="1"/>
    </row>
    <row r="176" spans="1:3">
      <c r="A176" s="1" t="s">
        <v>73</v>
      </c>
      <c r="B176" s="1" t="s">
        <v>98</v>
      </c>
      <c r="C176" s="1"/>
    </row>
    <row r="177" spans="1:3">
      <c r="A177" s="1" t="s">
        <v>74</v>
      </c>
      <c r="B177" s="1" t="s">
        <v>98</v>
      </c>
      <c r="C177" s="1"/>
    </row>
    <row r="178" spans="1:3">
      <c r="A178" s="1" t="s">
        <v>75</v>
      </c>
      <c r="B178" s="1" t="s">
        <v>98</v>
      </c>
      <c r="C178" s="1"/>
    </row>
    <row r="179" spans="1:3">
      <c r="A179" s="1" t="s">
        <v>76</v>
      </c>
      <c r="B179" s="1" t="s">
        <v>98</v>
      </c>
      <c r="C179" s="1"/>
    </row>
    <row r="180" spans="1:3">
      <c r="A180" s="1" t="s">
        <v>77</v>
      </c>
      <c r="B180" s="1" t="s">
        <v>98</v>
      </c>
      <c r="C180" s="1"/>
    </row>
    <row r="181" spans="1:3">
      <c r="A181" s="1" t="s">
        <v>78</v>
      </c>
      <c r="B181" s="1" t="s">
        <v>98</v>
      </c>
      <c r="C181" s="1"/>
    </row>
    <row r="182" spans="1:3">
      <c r="A182" s="1" t="s">
        <v>79</v>
      </c>
      <c r="B182" s="1" t="s">
        <v>98</v>
      </c>
      <c r="C182" s="1"/>
    </row>
    <row r="183" spans="1:3">
      <c r="A183" s="1" t="s">
        <v>80</v>
      </c>
      <c r="B183" s="1" t="s">
        <v>98</v>
      </c>
      <c r="C183" s="1"/>
    </row>
    <row r="184" spans="1:3">
      <c r="A184" s="1" t="s">
        <v>81</v>
      </c>
      <c r="B184" s="1" t="s">
        <v>98</v>
      </c>
      <c r="C184" s="1"/>
    </row>
    <row r="185" spans="1:3">
      <c r="A185" s="1" t="s">
        <v>82</v>
      </c>
      <c r="B185" s="1" t="s">
        <v>98</v>
      </c>
      <c r="C185" s="1"/>
    </row>
    <row r="186" spans="1:3">
      <c r="A186" s="1" t="s">
        <v>83</v>
      </c>
      <c r="B186" s="1" t="s">
        <v>98</v>
      </c>
      <c r="C186" s="1"/>
    </row>
    <row r="187" spans="1:3">
      <c r="A187" s="1" t="s">
        <v>84</v>
      </c>
      <c r="B187" s="1" t="s">
        <v>98</v>
      </c>
      <c r="C187" s="1"/>
    </row>
    <row r="188" spans="1:3">
      <c r="A188" s="1" t="s">
        <v>85</v>
      </c>
      <c r="B188" s="1" t="s">
        <v>98</v>
      </c>
      <c r="C188" s="1"/>
    </row>
    <row r="189" spans="1:3">
      <c r="A189" s="1" t="s">
        <v>86</v>
      </c>
      <c r="B189" s="1" t="s">
        <v>98</v>
      </c>
      <c r="C189" s="1"/>
    </row>
    <row r="190" spans="1:3">
      <c r="A190" s="1" t="s">
        <v>87</v>
      </c>
      <c r="B190" s="1" t="s">
        <v>98</v>
      </c>
      <c r="C190" s="1"/>
    </row>
    <row r="191" spans="1:3">
      <c r="A191" s="1" t="s">
        <v>88</v>
      </c>
      <c r="B191" s="1" t="s">
        <v>98</v>
      </c>
      <c r="C191" s="1"/>
    </row>
    <row r="192" spans="1:3">
      <c r="A192" s="1" t="s">
        <v>89</v>
      </c>
      <c r="B192" s="1" t="s">
        <v>98</v>
      </c>
      <c r="C192" s="1"/>
    </row>
    <row r="193" spans="1:3">
      <c r="A193" s="1" t="s">
        <v>90</v>
      </c>
      <c r="B193" s="1" t="s">
        <v>98</v>
      </c>
      <c r="C193" s="1"/>
    </row>
    <row r="194" spans="1:3">
      <c r="A194" s="1" t="s">
        <v>91</v>
      </c>
      <c r="B194" s="1" t="s">
        <v>98</v>
      </c>
      <c r="C194" s="1"/>
    </row>
    <row r="195" spans="1:3">
      <c r="A195" s="1" t="s">
        <v>92</v>
      </c>
      <c r="B195" s="1" t="s">
        <v>98</v>
      </c>
      <c r="C195" s="1"/>
    </row>
    <row r="196" spans="1:3">
      <c r="A196" s="1" t="s">
        <v>93</v>
      </c>
      <c r="B196" s="1" t="s">
        <v>98</v>
      </c>
      <c r="C196" s="1"/>
    </row>
    <row r="197" spans="1:3">
      <c r="A197" s="1" t="s">
        <v>94</v>
      </c>
      <c r="B197" s="1" t="s">
        <v>98</v>
      </c>
      <c r="C197" s="1"/>
    </row>
    <row r="198" spans="1:3">
      <c r="A198" s="1" t="s">
        <v>95</v>
      </c>
      <c r="B198" s="1" t="s">
        <v>98</v>
      </c>
      <c r="C198" s="1"/>
    </row>
    <row r="199" spans="1:3">
      <c r="A199" s="1" t="s">
        <v>96</v>
      </c>
      <c r="B199" s="1" t="s">
        <v>98</v>
      </c>
      <c r="C199" s="1"/>
    </row>
    <row r="200" spans="1:3">
      <c r="A200" s="1" t="s">
        <v>97</v>
      </c>
      <c r="B200" s="1" t="s">
        <v>99</v>
      </c>
      <c r="C200" s="1">
        <v>10952.1437794012</v>
      </c>
    </row>
    <row r="201" spans="1:3">
      <c r="A201" s="1" t="s">
        <v>11</v>
      </c>
      <c r="B201" s="1" t="s">
        <v>99</v>
      </c>
      <c r="C201" s="1"/>
    </row>
    <row r="202" spans="1:3">
      <c r="A202" s="1" t="s">
        <v>13</v>
      </c>
      <c r="B202" s="1" t="s">
        <v>99</v>
      </c>
      <c r="C202" s="1"/>
    </row>
    <row r="203" spans="1:3">
      <c r="A203" s="1" t="s">
        <v>14</v>
      </c>
      <c r="B203" s="1" t="s">
        <v>99</v>
      </c>
      <c r="C203" s="1"/>
    </row>
    <row r="204" spans="1:3">
      <c r="A204" s="1" t="s">
        <v>15</v>
      </c>
      <c r="B204" s="1" t="s">
        <v>99</v>
      </c>
      <c r="C204" s="1"/>
    </row>
    <row r="205" spans="1:3">
      <c r="A205" s="1" t="s">
        <v>16</v>
      </c>
      <c r="B205" s="1" t="s">
        <v>99</v>
      </c>
      <c r="C205" s="1"/>
    </row>
    <row r="206" spans="1:3">
      <c r="A206" s="1" t="s">
        <v>17</v>
      </c>
      <c r="B206" s="1" t="s">
        <v>99</v>
      </c>
      <c r="C206" s="1"/>
    </row>
    <row r="207" spans="1:3">
      <c r="A207" s="1" t="s">
        <v>18</v>
      </c>
      <c r="B207" s="1" t="s">
        <v>99</v>
      </c>
      <c r="C207" s="1"/>
    </row>
    <row r="208" spans="1:3">
      <c r="A208" s="1" t="s">
        <v>19</v>
      </c>
      <c r="B208" s="1" t="s">
        <v>99</v>
      </c>
      <c r="C208" s="1"/>
    </row>
    <row r="209" spans="1:3">
      <c r="A209" s="1" t="s">
        <v>20</v>
      </c>
      <c r="B209" s="1" t="s">
        <v>99</v>
      </c>
      <c r="C209" s="1"/>
    </row>
    <row r="210" spans="1:3">
      <c r="A210" s="1" t="s">
        <v>21</v>
      </c>
      <c r="B210" s="1" t="s">
        <v>99</v>
      </c>
      <c r="C210" s="1"/>
    </row>
    <row r="211" spans="1:3">
      <c r="A211" s="1" t="s">
        <v>22</v>
      </c>
      <c r="B211" s="1" t="s">
        <v>99</v>
      </c>
      <c r="C211" s="1"/>
    </row>
    <row r="212" spans="1:3">
      <c r="A212" s="1" t="s">
        <v>24</v>
      </c>
      <c r="B212" s="1" t="s">
        <v>99</v>
      </c>
    </row>
    <row r="213" spans="1:3">
      <c r="A213" s="1" t="s">
        <v>25</v>
      </c>
      <c r="B213" s="1" t="s">
        <v>99</v>
      </c>
      <c r="C213" s="1"/>
    </row>
    <row r="214" spans="1:3">
      <c r="A214" s="1" t="s">
        <v>26</v>
      </c>
      <c r="B214" s="1" t="s">
        <v>99</v>
      </c>
      <c r="C214" s="1"/>
    </row>
    <row r="215" spans="1:3">
      <c r="A215" s="1" t="s">
        <v>27</v>
      </c>
      <c r="B215" s="1" t="s">
        <v>99</v>
      </c>
      <c r="C215" s="1"/>
    </row>
    <row r="216" spans="1:3">
      <c r="A216" s="1" t="s">
        <v>28</v>
      </c>
      <c r="B216" s="1" t="s">
        <v>99</v>
      </c>
      <c r="C216" s="1"/>
    </row>
    <row r="217" spans="1:3">
      <c r="A217" s="1" t="s">
        <v>29</v>
      </c>
      <c r="B217" s="1" t="s">
        <v>99</v>
      </c>
      <c r="C217" s="1"/>
    </row>
    <row r="218" spans="1:3">
      <c r="A218" s="1" t="s">
        <v>30</v>
      </c>
      <c r="B218" s="1" t="s">
        <v>99</v>
      </c>
      <c r="C218" s="1"/>
    </row>
    <row r="219" spans="1:3">
      <c r="A219" s="1" t="s">
        <v>31</v>
      </c>
      <c r="B219" s="1" t="s">
        <v>99</v>
      </c>
      <c r="C219" s="1"/>
    </row>
    <row r="220" spans="1:3">
      <c r="A220" s="1" t="s">
        <v>32</v>
      </c>
      <c r="B220" s="1" t="s">
        <v>99</v>
      </c>
      <c r="C220" s="1"/>
    </row>
    <row r="221" spans="1:3">
      <c r="A221" s="1" t="s">
        <v>33</v>
      </c>
      <c r="B221" s="1" t="s">
        <v>99</v>
      </c>
      <c r="C221" s="1"/>
    </row>
    <row r="222" spans="1:3">
      <c r="A222" s="1" t="s">
        <v>34</v>
      </c>
      <c r="B222" s="1" t="s">
        <v>99</v>
      </c>
      <c r="C222" s="1"/>
    </row>
    <row r="223" spans="1:3">
      <c r="A223" s="1" t="s">
        <v>35</v>
      </c>
      <c r="B223" s="1" t="s">
        <v>99</v>
      </c>
      <c r="C223" s="1"/>
    </row>
    <row r="224" spans="1:3">
      <c r="A224" s="1" t="s">
        <v>36</v>
      </c>
      <c r="B224" s="1" t="s">
        <v>99</v>
      </c>
      <c r="C224" s="1"/>
    </row>
    <row r="225" spans="1:3">
      <c r="A225" s="1" t="s">
        <v>37</v>
      </c>
      <c r="B225" s="1" t="s">
        <v>99</v>
      </c>
      <c r="C225" s="1"/>
    </row>
    <row r="226" spans="1:3">
      <c r="A226" s="1" t="s">
        <v>38</v>
      </c>
      <c r="B226" s="1" t="s">
        <v>99</v>
      </c>
      <c r="C226" s="1"/>
    </row>
    <row r="227" spans="1:3">
      <c r="A227" s="1" t="s">
        <v>39</v>
      </c>
      <c r="B227" s="1" t="s">
        <v>99</v>
      </c>
      <c r="C227" s="1"/>
    </row>
    <row r="228" spans="1:3">
      <c r="A228" s="1" t="s">
        <v>40</v>
      </c>
      <c r="B228" s="1" t="s">
        <v>99</v>
      </c>
      <c r="C228" s="1"/>
    </row>
    <row r="229" spans="1:3">
      <c r="A229" s="1" t="s">
        <v>41</v>
      </c>
      <c r="B229" s="1" t="s">
        <v>99</v>
      </c>
      <c r="C229" s="1"/>
    </row>
    <row r="230" spans="1:3">
      <c r="A230" s="1" t="s">
        <v>42</v>
      </c>
      <c r="B230" s="1" t="s">
        <v>99</v>
      </c>
      <c r="C230" s="1"/>
    </row>
    <row r="231" spans="1:3">
      <c r="A231" s="1" t="s">
        <v>43</v>
      </c>
      <c r="B231" s="1" t="s">
        <v>99</v>
      </c>
      <c r="C231" s="1"/>
    </row>
    <row r="232" spans="1:3">
      <c r="A232" s="1" t="s">
        <v>44</v>
      </c>
      <c r="B232" s="1" t="s">
        <v>99</v>
      </c>
      <c r="C232" s="1"/>
    </row>
    <row r="233" spans="1:3">
      <c r="A233" s="1" t="s">
        <v>45</v>
      </c>
      <c r="B233" s="1" t="s">
        <v>99</v>
      </c>
      <c r="C233" s="1"/>
    </row>
    <row r="234" spans="1:3">
      <c r="A234" s="1" t="s">
        <v>46</v>
      </c>
      <c r="B234" s="1" t="s">
        <v>99</v>
      </c>
      <c r="C234" s="1"/>
    </row>
    <row r="235" spans="1:3">
      <c r="A235" s="1" t="s">
        <v>47</v>
      </c>
      <c r="B235" s="1" t="s">
        <v>99</v>
      </c>
      <c r="C235" s="1"/>
    </row>
    <row r="236" spans="1:3">
      <c r="A236" s="1" t="s">
        <v>48</v>
      </c>
      <c r="B236" s="1" t="s">
        <v>99</v>
      </c>
      <c r="C236" s="1"/>
    </row>
    <row r="237" spans="1:3">
      <c r="A237" s="1" t="s">
        <v>49</v>
      </c>
      <c r="B237" s="1" t="s">
        <v>99</v>
      </c>
      <c r="C237" s="1"/>
    </row>
    <row r="238" spans="1:3">
      <c r="A238" s="1" t="s">
        <v>50</v>
      </c>
      <c r="B238" s="1" t="s">
        <v>99</v>
      </c>
      <c r="C238" s="1"/>
    </row>
    <row r="239" spans="1:3">
      <c r="A239" s="1" t="s">
        <v>51</v>
      </c>
      <c r="B239" s="1" t="s">
        <v>99</v>
      </c>
      <c r="C239" s="1"/>
    </row>
    <row r="240" spans="1:3">
      <c r="A240" s="1" t="s">
        <v>52</v>
      </c>
      <c r="B240" s="1" t="s">
        <v>99</v>
      </c>
      <c r="C240" s="1"/>
    </row>
    <row r="241" spans="1:3">
      <c r="A241" s="1" t="s">
        <v>53</v>
      </c>
      <c r="B241" s="1" t="s">
        <v>99</v>
      </c>
      <c r="C241" s="1"/>
    </row>
    <row r="242" spans="1:3">
      <c r="A242" s="1" t="s">
        <v>54</v>
      </c>
      <c r="B242" s="1" t="s">
        <v>99</v>
      </c>
      <c r="C242" s="1"/>
    </row>
    <row r="243" spans="1:3">
      <c r="A243" s="1" t="s">
        <v>55</v>
      </c>
      <c r="B243" s="1" t="s">
        <v>99</v>
      </c>
      <c r="C243" s="1"/>
    </row>
    <row r="244" spans="1:3">
      <c r="A244" s="1" t="s">
        <v>56</v>
      </c>
      <c r="B244" s="1" t="s">
        <v>99</v>
      </c>
      <c r="C244" s="1"/>
    </row>
    <row r="245" spans="1:3">
      <c r="A245" s="1" t="s">
        <v>57</v>
      </c>
      <c r="B245" s="1" t="s">
        <v>99</v>
      </c>
      <c r="C245" s="1"/>
    </row>
    <row r="246" spans="1:3">
      <c r="A246" s="1" t="s">
        <v>58</v>
      </c>
      <c r="B246" s="1" t="s">
        <v>99</v>
      </c>
      <c r="C246" s="1"/>
    </row>
    <row r="247" spans="1:3">
      <c r="A247" s="1" t="s">
        <v>59</v>
      </c>
      <c r="B247" s="1" t="s">
        <v>99</v>
      </c>
      <c r="C247" s="1"/>
    </row>
    <row r="248" spans="1:3">
      <c r="A248" s="1" t="s">
        <v>60</v>
      </c>
      <c r="B248" s="1" t="s">
        <v>99</v>
      </c>
      <c r="C248" s="1"/>
    </row>
    <row r="249" spans="1:3">
      <c r="A249" s="1" t="s">
        <v>61</v>
      </c>
      <c r="B249" s="1" t="s">
        <v>99</v>
      </c>
      <c r="C249" s="1"/>
    </row>
    <row r="250" spans="1:3">
      <c r="A250" s="1" t="s">
        <v>62</v>
      </c>
      <c r="B250" s="1" t="s">
        <v>99</v>
      </c>
      <c r="C250" s="1"/>
    </row>
    <row r="251" spans="1:3">
      <c r="A251" s="1" t="s">
        <v>63</v>
      </c>
      <c r="B251" s="1" t="s">
        <v>99</v>
      </c>
      <c r="C251" s="1"/>
    </row>
    <row r="252" spans="1:3">
      <c r="A252" s="1" t="s">
        <v>64</v>
      </c>
      <c r="B252" s="1" t="s">
        <v>99</v>
      </c>
      <c r="C252" s="1"/>
    </row>
    <row r="253" spans="1:3">
      <c r="A253" s="1" t="s">
        <v>65</v>
      </c>
      <c r="B253" s="1" t="s">
        <v>99</v>
      </c>
      <c r="C253" s="1"/>
    </row>
    <row r="254" spans="1:3">
      <c r="A254" s="1" t="s">
        <v>2</v>
      </c>
      <c r="B254" s="1" t="s">
        <v>99</v>
      </c>
      <c r="C254" s="1"/>
    </row>
    <row r="255" spans="1:3">
      <c r="A255" s="1" t="s">
        <v>2</v>
      </c>
      <c r="B255" s="1" t="s">
        <v>99</v>
      </c>
      <c r="C255" s="1"/>
    </row>
    <row r="256" spans="1:3">
      <c r="A256" s="1" t="s">
        <v>66</v>
      </c>
      <c r="B256" s="1" t="s">
        <v>99</v>
      </c>
      <c r="C256" s="1"/>
    </row>
    <row r="257" spans="1:3">
      <c r="A257" s="1" t="s">
        <v>67</v>
      </c>
      <c r="B257" s="1" t="s">
        <v>99</v>
      </c>
      <c r="C257" s="1"/>
    </row>
    <row r="258" spans="1:3">
      <c r="A258" s="1" t="s">
        <v>68</v>
      </c>
      <c r="B258" s="1" t="s">
        <v>99</v>
      </c>
      <c r="C258" s="1"/>
    </row>
    <row r="259" spans="1:3">
      <c r="A259" s="1" t="s">
        <v>5</v>
      </c>
      <c r="B259" s="1" t="s">
        <v>99</v>
      </c>
      <c r="C259" s="1"/>
    </row>
    <row r="260" spans="1:3">
      <c r="A260" s="1" t="s">
        <v>4</v>
      </c>
      <c r="B260" s="1" t="s">
        <v>99</v>
      </c>
      <c r="C260" s="1"/>
    </row>
    <row r="261" spans="1:3">
      <c r="A261" s="1" t="s">
        <v>5</v>
      </c>
      <c r="B261" s="1" t="s">
        <v>99</v>
      </c>
      <c r="C261" s="1"/>
    </row>
    <row r="262" spans="1:3">
      <c r="A262" s="1" t="s">
        <v>6</v>
      </c>
      <c r="B262" s="1" t="s">
        <v>99</v>
      </c>
      <c r="C262" s="1"/>
    </row>
    <row r="263" spans="1:3">
      <c r="A263" s="1" t="s">
        <v>7</v>
      </c>
      <c r="B263" s="1" t="s">
        <v>99</v>
      </c>
      <c r="C263" s="1"/>
    </row>
    <row r="264" spans="1:3">
      <c r="A264" s="1" t="s">
        <v>69</v>
      </c>
      <c r="B264" s="1" t="s">
        <v>99</v>
      </c>
      <c r="C264" s="1"/>
    </row>
    <row r="265" spans="1:3">
      <c r="A265" s="1" t="s">
        <v>70</v>
      </c>
      <c r="B265" s="1" t="s">
        <v>99</v>
      </c>
      <c r="C265" s="1"/>
    </row>
    <row r="266" spans="1:3">
      <c r="A266" s="1" t="s">
        <v>8</v>
      </c>
      <c r="B266" s="1" t="s">
        <v>99</v>
      </c>
      <c r="C266" s="1"/>
    </row>
    <row r="267" spans="1:3">
      <c r="A267" s="1" t="s">
        <v>9</v>
      </c>
      <c r="B267" s="1" t="s">
        <v>99</v>
      </c>
      <c r="C267" s="1"/>
    </row>
    <row r="268" spans="1:3">
      <c r="A268" s="1" t="s">
        <v>10</v>
      </c>
      <c r="B268" s="1" t="s">
        <v>99</v>
      </c>
      <c r="C268" s="1"/>
    </row>
    <row r="269" spans="1:3">
      <c r="A269" s="1" t="s">
        <v>71</v>
      </c>
      <c r="B269" s="1" t="s">
        <v>99</v>
      </c>
      <c r="C269" s="1">
        <v>3319.5300679062902</v>
      </c>
    </row>
    <row r="270" spans="1:3">
      <c r="A270" s="1" t="s">
        <v>72</v>
      </c>
      <c r="B270" s="1" t="s">
        <v>99</v>
      </c>
      <c r="C270" s="1">
        <v>5620.2640035504201</v>
      </c>
    </row>
    <row r="271" spans="1:3">
      <c r="A271" s="1" t="s">
        <v>73</v>
      </c>
      <c r="B271" s="1" t="s">
        <v>99</v>
      </c>
      <c r="C271" s="1">
        <v>4522.6679530559604</v>
      </c>
    </row>
    <row r="272" spans="1:3">
      <c r="A272" s="1" t="s">
        <v>74</v>
      </c>
      <c r="B272" s="1" t="s">
        <v>99</v>
      </c>
      <c r="C272" s="1">
        <v>7535.5573530798401</v>
      </c>
    </row>
    <row r="273" spans="1:3">
      <c r="A273" s="1" t="s">
        <v>75</v>
      </c>
      <c r="B273" s="1" t="s">
        <v>99</v>
      </c>
      <c r="C273" s="1">
        <v>8720.7917926288392</v>
      </c>
    </row>
    <row r="274" spans="1:3">
      <c r="A274" s="1" t="s">
        <v>76</v>
      </c>
      <c r="B274" s="1" t="s">
        <v>99</v>
      </c>
      <c r="C274" s="1">
        <v>6286.3874580832999</v>
      </c>
    </row>
    <row r="275" spans="1:3">
      <c r="A275" s="1" t="s">
        <v>77</v>
      </c>
      <c r="B275" s="1" t="s">
        <v>99</v>
      </c>
      <c r="C275" s="1">
        <v>5243.2022475156809</v>
      </c>
    </row>
    <row r="276" spans="1:3">
      <c r="A276" s="1" t="s">
        <v>78</v>
      </c>
      <c r="B276" s="1" t="s">
        <v>99</v>
      </c>
      <c r="C276" s="1">
        <v>6093.1658205978511</v>
      </c>
    </row>
    <row r="277" spans="1:3">
      <c r="A277" s="1" t="s">
        <v>79</v>
      </c>
      <c r="B277" s="1" t="s">
        <v>99</v>
      </c>
      <c r="C277" s="1"/>
    </row>
    <row r="278" spans="1:3">
      <c r="A278" s="1" t="s">
        <v>80</v>
      </c>
      <c r="B278" s="1" t="s">
        <v>99</v>
      </c>
      <c r="C278" s="1"/>
    </row>
    <row r="279" spans="1:3">
      <c r="A279" s="1" t="s">
        <v>81</v>
      </c>
      <c r="B279" s="1" t="s">
        <v>99</v>
      </c>
      <c r="C279" s="1">
        <v>7008.9450322022703</v>
      </c>
    </row>
    <row r="280" spans="1:3">
      <c r="A280" s="1" t="s">
        <v>82</v>
      </c>
      <c r="B280" s="1" t="s">
        <v>99</v>
      </c>
      <c r="C280" s="1"/>
    </row>
    <row r="281" spans="1:3">
      <c r="A281" s="1" t="s">
        <v>83</v>
      </c>
      <c r="B281" s="1" t="s">
        <v>99</v>
      </c>
      <c r="C281" s="1">
        <v>14702.815699343599</v>
      </c>
    </row>
    <row r="282" spans="1:3">
      <c r="A282" s="1" t="s">
        <v>84</v>
      </c>
      <c r="B282" s="1" t="s">
        <v>99</v>
      </c>
      <c r="C282" s="1">
        <v>15270.6125973496</v>
      </c>
    </row>
    <row r="283" spans="1:3">
      <c r="A283" s="1" t="s">
        <v>85</v>
      </c>
      <c r="B283" s="1" t="s">
        <v>99</v>
      </c>
      <c r="C283" s="1">
        <v>15889.392868773501</v>
      </c>
    </row>
    <row r="284" spans="1:3">
      <c r="A284" s="1" t="s">
        <v>86</v>
      </c>
      <c r="B284" s="1" t="s">
        <v>99</v>
      </c>
      <c r="C284" s="1">
        <v>9261.8688426871195</v>
      </c>
    </row>
    <row r="285" spans="1:3">
      <c r="A285" s="1" t="s">
        <v>87</v>
      </c>
      <c r="B285" s="1" t="s">
        <v>99</v>
      </c>
      <c r="C285" s="1">
        <v>7282.2828161093803</v>
      </c>
    </row>
    <row r="286" spans="1:3">
      <c r="A286" s="1" t="s">
        <v>88</v>
      </c>
      <c r="B286" s="1" t="s">
        <v>99</v>
      </c>
      <c r="C286" s="1">
        <v>9813.5711278621802</v>
      </c>
    </row>
    <row r="287" spans="1:3">
      <c r="A287" s="1" t="s">
        <v>89</v>
      </c>
      <c r="B287" s="1" t="s">
        <v>99</v>
      </c>
      <c r="C287" s="1">
        <v>4885.0116507078301</v>
      </c>
    </row>
    <row r="288" spans="1:3">
      <c r="A288" s="1" t="s">
        <v>90</v>
      </c>
      <c r="B288" s="1" t="s">
        <v>99</v>
      </c>
      <c r="C288" s="1"/>
    </row>
    <row r="289" spans="1:3">
      <c r="A289" s="1" t="s">
        <v>91</v>
      </c>
      <c r="B289" s="1" t="s">
        <v>99</v>
      </c>
      <c r="C289" s="1">
        <v>5844.6710724199802</v>
      </c>
    </row>
    <row r="290" spans="1:3">
      <c r="A290" s="1" t="s">
        <v>92</v>
      </c>
      <c r="B290" s="1" t="s">
        <v>99</v>
      </c>
      <c r="C290" s="1">
        <v>5302.8085114327705</v>
      </c>
    </row>
    <row r="291" spans="1:3">
      <c r="A291" s="1" t="s">
        <v>93</v>
      </c>
      <c r="B291" s="1" t="s">
        <v>99</v>
      </c>
      <c r="C291" s="1">
        <v>2923.9700999068505</v>
      </c>
    </row>
    <row r="292" spans="1:3">
      <c r="A292" s="1" t="s">
        <v>94</v>
      </c>
      <c r="B292" s="1" t="s">
        <v>99</v>
      </c>
      <c r="C292" s="1"/>
    </row>
    <row r="293" spans="1:3">
      <c r="A293" s="1" t="s">
        <v>95</v>
      </c>
      <c r="B293" s="1" t="s">
        <v>99</v>
      </c>
      <c r="C293" s="1">
        <v>8650.7375940212205</v>
      </c>
    </row>
    <row r="294" spans="1:3">
      <c r="A294" s="1" t="s">
        <v>96</v>
      </c>
      <c r="B294" s="1" t="s">
        <v>99</v>
      </c>
      <c r="C294" s="1">
        <v>8938.4381814168519</v>
      </c>
    </row>
    <row r="295" spans="1:3">
      <c r="A295" s="1" t="s">
        <v>97</v>
      </c>
      <c r="B295" s="1" t="s">
        <v>100</v>
      </c>
      <c r="C295" s="1">
        <v>2455105.8003236698</v>
      </c>
    </row>
    <row r="296" spans="1:3">
      <c r="A296" s="1" t="s">
        <v>11</v>
      </c>
      <c r="B296" s="1" t="s">
        <v>100</v>
      </c>
      <c r="C296" s="1">
        <v>315699.87115285202</v>
      </c>
    </row>
    <row r="297" spans="1:3">
      <c r="A297" s="1" t="s">
        <v>13</v>
      </c>
      <c r="B297" s="1" t="s">
        <v>100</v>
      </c>
      <c r="C297" s="1">
        <v>179454.44301373902</v>
      </c>
    </row>
    <row r="298" spans="1:3">
      <c r="A298" s="1" t="s">
        <v>14</v>
      </c>
      <c r="B298" s="1" t="s">
        <v>100</v>
      </c>
      <c r="C298" s="1">
        <v>268737.16028591304</v>
      </c>
    </row>
    <row r="299" spans="1:3">
      <c r="A299" s="1" t="s">
        <v>15</v>
      </c>
      <c r="B299" s="1" t="s">
        <v>100</v>
      </c>
      <c r="C299" s="1">
        <v>173036.85016942202</v>
      </c>
    </row>
    <row r="300" spans="1:3">
      <c r="A300" s="1" t="s">
        <v>16</v>
      </c>
      <c r="B300" s="1" t="s">
        <v>100</v>
      </c>
      <c r="C300" s="1">
        <v>168164.86488171501</v>
      </c>
    </row>
    <row r="301" spans="1:3">
      <c r="A301" s="1" t="s">
        <v>17</v>
      </c>
      <c r="B301" s="1" t="s">
        <v>100</v>
      </c>
      <c r="C301" s="1">
        <v>291302.084985369</v>
      </c>
    </row>
    <row r="302" spans="1:3">
      <c r="A302" s="1" t="s">
        <v>18</v>
      </c>
      <c r="B302" s="1" t="s">
        <v>100</v>
      </c>
      <c r="C302" s="1">
        <v>304080.67167111597</v>
      </c>
    </row>
    <row r="303" spans="1:3">
      <c r="A303" s="1" t="s">
        <v>19</v>
      </c>
      <c r="B303" s="1" t="s">
        <v>100</v>
      </c>
      <c r="C303" s="1">
        <v>381334.43147420097</v>
      </c>
    </row>
    <row r="304" spans="1:3">
      <c r="A304" s="1" t="s">
        <v>20</v>
      </c>
      <c r="B304" s="1" t="s">
        <v>100</v>
      </c>
      <c r="C304" s="1">
        <v>331016.21596335998</v>
      </c>
    </row>
    <row r="305" spans="1:3">
      <c r="A305" s="1" t="s">
        <v>21</v>
      </c>
      <c r="B305" s="1" t="s">
        <v>100</v>
      </c>
      <c r="C305" s="1">
        <v>157476.11517083802</v>
      </c>
    </row>
    <row r="306" spans="1:3">
      <c r="A306" s="1" t="s">
        <v>22</v>
      </c>
      <c r="B306" s="1" t="s">
        <v>100</v>
      </c>
      <c r="C306" s="1">
        <v>186376.295246083</v>
      </c>
    </row>
    <row r="307" spans="1:3">
      <c r="A307" s="1" t="s">
        <v>23</v>
      </c>
      <c r="B307" s="1" t="s">
        <v>100</v>
      </c>
      <c r="C307">
        <v>832550.92355193407</v>
      </c>
    </row>
    <row r="308" spans="1:3">
      <c r="A308" s="1" t="s">
        <v>24</v>
      </c>
      <c r="B308" s="1" t="s">
        <v>100</v>
      </c>
      <c r="C308" s="1">
        <v>148541.92010048102</v>
      </c>
    </row>
    <row r="309" spans="1:3">
      <c r="A309" s="1" t="s">
        <v>25</v>
      </c>
      <c r="B309" s="1" t="s">
        <v>100</v>
      </c>
      <c r="C309" s="1">
        <v>138757.71520485298</v>
      </c>
    </row>
    <row r="310" spans="1:3">
      <c r="A310" s="1" t="s">
        <v>26</v>
      </c>
      <c r="B310" s="1" t="s">
        <v>100</v>
      </c>
      <c r="C310" s="1">
        <v>217798.41090967899</v>
      </c>
    </row>
    <row r="311" spans="1:3">
      <c r="A311" s="1" t="s">
        <v>27</v>
      </c>
      <c r="B311" s="1" t="s">
        <v>100</v>
      </c>
      <c r="C311" s="1">
        <v>301057.13626773102</v>
      </c>
    </row>
    <row r="312" spans="1:3">
      <c r="A312" s="1" t="s">
        <v>28</v>
      </c>
      <c r="B312" s="1" t="s">
        <v>100</v>
      </c>
      <c r="C312" s="1">
        <v>339474.02008498</v>
      </c>
    </row>
    <row r="313" spans="1:3">
      <c r="A313" s="1" t="s">
        <v>29</v>
      </c>
      <c r="B313" s="1" t="s">
        <v>100</v>
      </c>
      <c r="C313" s="1">
        <v>521608.63433201</v>
      </c>
    </row>
    <row r="314" spans="1:3">
      <c r="A314" s="1" t="s">
        <v>30</v>
      </c>
      <c r="B314" s="1" t="s">
        <v>100</v>
      </c>
      <c r="C314" s="1">
        <v>225911.185234189</v>
      </c>
    </row>
    <row r="315" spans="1:3">
      <c r="A315" s="1" t="s">
        <v>31</v>
      </c>
      <c r="B315" s="1" t="s">
        <v>100</v>
      </c>
      <c r="C315" s="1">
        <v>201852.55050454801</v>
      </c>
    </row>
    <row r="316" spans="1:3">
      <c r="A316" s="1" t="s">
        <v>32</v>
      </c>
      <c r="B316" s="1" t="s">
        <v>100</v>
      </c>
      <c r="C316" s="1">
        <v>211161.28467581898</v>
      </c>
    </row>
    <row r="317" spans="1:3">
      <c r="A317" s="1" t="s">
        <v>33</v>
      </c>
      <c r="B317" s="1" t="s">
        <v>100</v>
      </c>
      <c r="C317" s="1">
        <v>238732.980933285</v>
      </c>
    </row>
    <row r="318" spans="1:3">
      <c r="A318" s="1" t="s">
        <v>34</v>
      </c>
      <c r="B318" s="1" t="s">
        <v>100</v>
      </c>
      <c r="C318" s="1">
        <v>191323.98595483202</v>
      </c>
    </row>
    <row r="319" spans="1:3">
      <c r="A319" s="1" t="s">
        <v>35</v>
      </c>
      <c r="B319" s="1" t="s">
        <v>100</v>
      </c>
      <c r="C319" s="1">
        <v>275701.42614166002</v>
      </c>
    </row>
    <row r="320" spans="1:3">
      <c r="A320" s="1" t="s">
        <v>36</v>
      </c>
      <c r="B320" s="1" t="s">
        <v>100</v>
      </c>
      <c r="C320" s="1">
        <v>254633.12727172198</v>
      </c>
    </row>
    <row r="321" spans="1:3">
      <c r="A321" s="1" t="s">
        <v>37</v>
      </c>
      <c r="B321" s="1" t="s">
        <v>100</v>
      </c>
      <c r="C321" s="1">
        <v>270041.802875072</v>
      </c>
    </row>
    <row r="322" spans="1:3">
      <c r="A322" s="1" t="s">
        <v>38</v>
      </c>
      <c r="B322" s="1" t="s">
        <v>100</v>
      </c>
      <c r="C322" s="1">
        <v>338620.12957290199</v>
      </c>
    </row>
    <row r="323" spans="1:3">
      <c r="A323" s="1" t="s">
        <v>39</v>
      </c>
      <c r="B323" s="1" t="s">
        <v>100</v>
      </c>
      <c r="C323" s="1">
        <v>200766.855228247</v>
      </c>
    </row>
    <row r="324" spans="1:3">
      <c r="A324" s="1" t="s">
        <v>40</v>
      </c>
      <c r="B324" s="1" t="s">
        <v>100</v>
      </c>
      <c r="C324" s="1">
        <v>153708.58742332502</v>
      </c>
    </row>
    <row r="325" spans="1:3">
      <c r="A325" s="1" t="s">
        <v>41</v>
      </c>
      <c r="B325" s="1" t="s">
        <v>100</v>
      </c>
      <c r="C325" s="1">
        <v>232333.650893752</v>
      </c>
    </row>
    <row r="326" spans="1:3">
      <c r="A326" s="1" t="s">
        <v>42</v>
      </c>
      <c r="B326" s="1" t="s">
        <v>100</v>
      </c>
      <c r="C326" s="1">
        <v>446563.14475805301</v>
      </c>
    </row>
    <row r="327" spans="1:3">
      <c r="A327" s="1" t="s">
        <v>43</v>
      </c>
      <c r="B327" s="1" t="s">
        <v>100</v>
      </c>
      <c r="C327" s="1">
        <v>453118.79433998704</v>
      </c>
    </row>
    <row r="328" spans="1:3">
      <c r="A328" s="1" t="s">
        <v>44</v>
      </c>
      <c r="B328" s="1" t="s">
        <v>100</v>
      </c>
      <c r="C328" s="1">
        <v>450070.744333549</v>
      </c>
    </row>
    <row r="329" spans="1:3">
      <c r="A329" s="1" t="s">
        <v>45</v>
      </c>
      <c r="B329" s="1" t="s">
        <v>100</v>
      </c>
      <c r="C329" s="1">
        <v>429759.10669364204</v>
      </c>
    </row>
    <row r="330" spans="1:3">
      <c r="A330" s="1" t="s">
        <v>46</v>
      </c>
      <c r="B330" s="1" t="s">
        <v>100</v>
      </c>
      <c r="C330" s="1">
        <v>423283.761140691</v>
      </c>
    </row>
    <row r="331" spans="1:3">
      <c r="A331" s="1" t="s">
        <v>47</v>
      </c>
      <c r="B331" s="1" t="s">
        <v>100</v>
      </c>
      <c r="C331" s="1">
        <v>309637.22343538201</v>
      </c>
    </row>
    <row r="332" spans="1:3">
      <c r="A332" s="1" t="s">
        <v>48</v>
      </c>
      <c r="B332" s="1" t="s">
        <v>100</v>
      </c>
      <c r="C332" s="1">
        <v>314439.97111305303</v>
      </c>
    </row>
    <row r="333" spans="1:3">
      <c r="A333" s="1" t="s">
        <v>49</v>
      </c>
      <c r="B333" s="1" t="s">
        <v>100</v>
      </c>
      <c r="C333" s="1">
        <v>354592.88694255502</v>
      </c>
    </row>
    <row r="334" spans="1:3">
      <c r="A334" s="1" t="s">
        <v>50</v>
      </c>
      <c r="B334" s="1" t="s">
        <v>100</v>
      </c>
      <c r="C334" s="1">
        <v>606603.47897126002</v>
      </c>
    </row>
    <row r="335" spans="1:3">
      <c r="A335" s="1" t="s">
        <v>51</v>
      </c>
      <c r="B335" s="1" t="s">
        <v>100</v>
      </c>
      <c r="C335" s="1">
        <v>446859.62564899999</v>
      </c>
    </row>
    <row r="336" spans="1:3">
      <c r="A336" s="1" t="s">
        <v>52</v>
      </c>
      <c r="B336" s="1" t="s">
        <v>100</v>
      </c>
      <c r="C336" s="1">
        <v>320187.45382873999</v>
      </c>
    </row>
    <row r="337" spans="1:3">
      <c r="A337" s="1" t="s">
        <v>53</v>
      </c>
      <c r="B337" s="1" t="s">
        <v>100</v>
      </c>
      <c r="C337" s="1">
        <v>343081.67899654998</v>
      </c>
    </row>
    <row r="338" spans="1:3">
      <c r="A338" s="1" t="s">
        <v>54</v>
      </c>
      <c r="B338" s="1" t="s">
        <v>100</v>
      </c>
      <c r="C338" s="1">
        <v>440713.17286072299</v>
      </c>
    </row>
    <row r="339" spans="1:3">
      <c r="A339" s="1" t="s">
        <v>55</v>
      </c>
      <c r="B339" s="1" t="s">
        <v>100</v>
      </c>
      <c r="C339" s="1">
        <v>326842.27107393002</v>
      </c>
    </row>
    <row r="340" spans="1:3">
      <c r="A340" s="1" t="s">
        <v>56</v>
      </c>
      <c r="B340" s="1" t="s">
        <v>100</v>
      </c>
      <c r="C340" s="1">
        <v>240288.63801989402</v>
      </c>
    </row>
    <row r="341" spans="1:3">
      <c r="A341" s="1" t="s">
        <v>57</v>
      </c>
      <c r="B341" s="1" t="s">
        <v>100</v>
      </c>
      <c r="C341" s="1">
        <v>415689.87429329002</v>
      </c>
    </row>
    <row r="342" spans="1:3">
      <c r="A342" s="1" t="s">
        <v>58</v>
      </c>
      <c r="B342" s="1" t="s">
        <v>100</v>
      </c>
      <c r="C342" s="1">
        <v>494151.85349528503</v>
      </c>
    </row>
    <row r="343" spans="1:3">
      <c r="A343" s="1" t="s">
        <v>59</v>
      </c>
      <c r="B343" s="1" t="s">
        <v>100</v>
      </c>
      <c r="C343" s="1">
        <v>369989.14410986804</v>
      </c>
    </row>
    <row r="344" spans="1:3">
      <c r="A344" s="1" t="s">
        <v>60</v>
      </c>
      <c r="B344" s="1" t="s">
        <v>100</v>
      </c>
      <c r="C344" s="1">
        <v>377516.19537944801</v>
      </c>
    </row>
    <row r="345" spans="1:3">
      <c r="A345" s="1" t="s">
        <v>61</v>
      </c>
      <c r="B345" s="1" t="s">
        <v>100</v>
      </c>
      <c r="C345" s="1">
        <v>488787.70703884104</v>
      </c>
    </row>
    <row r="346" spans="1:3">
      <c r="A346" s="1" t="s">
        <v>62</v>
      </c>
      <c r="B346" s="1" t="s">
        <v>100</v>
      </c>
      <c r="C346" s="1">
        <v>262151.05517373496</v>
      </c>
    </row>
    <row r="347" spans="1:3">
      <c r="A347" s="1" t="s">
        <v>63</v>
      </c>
      <c r="B347" s="1" t="s">
        <v>100</v>
      </c>
      <c r="C347" s="1">
        <v>344790.37521483697</v>
      </c>
    </row>
    <row r="348" spans="1:3">
      <c r="A348" s="1" t="s">
        <v>64</v>
      </c>
      <c r="B348" s="1" t="s">
        <v>100</v>
      </c>
      <c r="C348" s="1">
        <v>264603.38559535402</v>
      </c>
    </row>
    <row r="349" spans="1:3">
      <c r="A349" s="1" t="s">
        <v>65</v>
      </c>
      <c r="B349" s="1" t="s">
        <v>100</v>
      </c>
      <c r="C349" s="1">
        <v>310534.83582770801</v>
      </c>
    </row>
    <row r="350" spans="1:3">
      <c r="A350" s="1" t="s">
        <v>2</v>
      </c>
      <c r="B350" s="1" t="s">
        <v>100</v>
      </c>
      <c r="C350" s="1">
        <v>241613.577599665</v>
      </c>
    </row>
    <row r="351" spans="1:3">
      <c r="A351" s="1" t="s">
        <v>2</v>
      </c>
      <c r="B351" s="1" t="s">
        <v>100</v>
      </c>
      <c r="C351" s="1">
        <v>235115.13648303802</v>
      </c>
    </row>
    <row r="352" spans="1:3">
      <c r="A352" s="1" t="s">
        <v>66</v>
      </c>
      <c r="B352" s="1" t="s">
        <v>100</v>
      </c>
      <c r="C352" s="1">
        <v>368570.81714927597</v>
      </c>
    </row>
    <row r="353" spans="1:3">
      <c r="A353" s="1" t="s">
        <v>67</v>
      </c>
      <c r="B353" s="1" t="s">
        <v>100</v>
      </c>
      <c r="C353" s="1">
        <v>298778.15495339804</v>
      </c>
    </row>
    <row r="354" spans="1:3">
      <c r="A354" s="1" t="s">
        <v>68</v>
      </c>
      <c r="B354" s="1" t="s">
        <v>100</v>
      </c>
      <c r="C354" s="1">
        <v>317131.50554406398</v>
      </c>
    </row>
    <row r="355" spans="1:3">
      <c r="A355" s="1" t="s">
        <v>5</v>
      </c>
      <c r="B355" s="1" t="s">
        <v>100</v>
      </c>
      <c r="C355" s="1">
        <v>2211744.4367359099</v>
      </c>
    </row>
    <row r="356" spans="1:3">
      <c r="A356" s="1" t="s">
        <v>4</v>
      </c>
      <c r="B356" s="1" t="s">
        <v>100</v>
      </c>
      <c r="C356" s="1">
        <v>2258112.2086421899</v>
      </c>
    </row>
    <row r="357" spans="1:3">
      <c r="A357" s="1" t="s">
        <v>5</v>
      </c>
      <c r="B357" s="1" t="s">
        <v>100</v>
      </c>
      <c r="C357" s="1">
        <v>2211744.4367359099</v>
      </c>
    </row>
    <row r="358" spans="1:3">
      <c r="A358" s="1" t="s">
        <v>6</v>
      </c>
      <c r="B358" s="1" t="s">
        <v>100</v>
      </c>
      <c r="C358" s="1">
        <v>1988878.7189466399</v>
      </c>
    </row>
    <row r="359" spans="1:3">
      <c r="A359" s="1" t="s">
        <v>7</v>
      </c>
      <c r="B359" s="1" t="s">
        <v>100</v>
      </c>
      <c r="C359" s="1">
        <v>2066950.0807077</v>
      </c>
    </row>
    <row r="360" spans="1:3">
      <c r="A360" s="1" t="s">
        <v>69</v>
      </c>
      <c r="B360" s="1" t="s">
        <v>100</v>
      </c>
      <c r="C360" s="1">
        <v>2087308.00219622</v>
      </c>
    </row>
    <row r="361" spans="1:3">
      <c r="A361" s="1" t="s">
        <v>70</v>
      </c>
      <c r="B361" s="1" t="s">
        <v>100</v>
      </c>
      <c r="C361" s="1">
        <v>147179.02868593999</v>
      </c>
    </row>
    <row r="362" spans="1:3">
      <c r="A362" s="1" t="s">
        <v>8</v>
      </c>
      <c r="B362" s="1" t="s">
        <v>100</v>
      </c>
      <c r="C362" s="1">
        <v>2531650.7601961098</v>
      </c>
    </row>
    <row r="363" spans="1:3">
      <c r="A363" s="1" t="s">
        <v>9</v>
      </c>
      <c r="B363" s="1" t="s">
        <v>100</v>
      </c>
      <c r="C363" s="1">
        <v>2412937.1140136598</v>
      </c>
    </row>
    <row r="364" spans="1:3">
      <c r="A364" s="1" t="s">
        <v>10</v>
      </c>
      <c r="B364" s="1" t="s">
        <v>100</v>
      </c>
      <c r="C364" s="1">
        <v>2129540.8769134199</v>
      </c>
    </row>
    <row r="365" spans="1:3">
      <c r="A365" s="1" t="s">
        <v>71</v>
      </c>
      <c r="B365" s="1" t="s">
        <v>100</v>
      </c>
      <c r="C365" s="1">
        <v>2115464.3177526202</v>
      </c>
    </row>
    <row r="366" spans="1:3">
      <c r="A366" s="1" t="s">
        <v>72</v>
      </c>
      <c r="B366" s="1" t="s">
        <v>100</v>
      </c>
      <c r="C366" s="1">
        <v>1857765.8180901899</v>
      </c>
    </row>
    <row r="367" spans="1:3">
      <c r="A367" s="1" t="s">
        <v>73</v>
      </c>
      <c r="B367" s="1" t="s">
        <v>100</v>
      </c>
      <c r="C367" s="1">
        <v>2734316.4384254199</v>
      </c>
    </row>
    <row r="368" spans="1:3">
      <c r="A368" s="1" t="s">
        <v>74</v>
      </c>
      <c r="B368" s="1" t="s">
        <v>100</v>
      </c>
      <c r="C368" s="1">
        <v>2680255.9451107201</v>
      </c>
    </row>
    <row r="369" spans="1:3">
      <c r="A369" s="1" t="s">
        <v>75</v>
      </c>
      <c r="B369" s="1" t="s">
        <v>100</v>
      </c>
      <c r="C369" s="1">
        <v>2947164.4581079599</v>
      </c>
    </row>
    <row r="370" spans="1:3">
      <c r="A370" s="1" t="s">
        <v>76</v>
      </c>
      <c r="B370" s="1" t="s">
        <v>100</v>
      </c>
      <c r="C370" s="1">
        <v>2642545.5115145301</v>
      </c>
    </row>
    <row r="371" spans="1:3">
      <c r="A371" s="1" t="s">
        <v>77</v>
      </c>
      <c r="B371" s="1" t="s">
        <v>100</v>
      </c>
      <c r="C371" s="1">
        <v>2740167.4271849799</v>
      </c>
    </row>
    <row r="372" spans="1:3">
      <c r="A372" s="1" t="s">
        <v>78</v>
      </c>
      <c r="B372" s="1" t="s">
        <v>100</v>
      </c>
      <c r="C372" s="1">
        <v>2886041.1823514998</v>
      </c>
    </row>
    <row r="373" spans="1:3">
      <c r="A373" s="1" t="s">
        <v>79</v>
      </c>
      <c r="B373" s="1" t="s">
        <v>100</v>
      </c>
      <c r="C373" s="1">
        <v>1597236.0850649001</v>
      </c>
    </row>
    <row r="374" spans="1:3">
      <c r="A374" s="1" t="s">
        <v>80</v>
      </c>
      <c r="B374" s="1" t="s">
        <v>100</v>
      </c>
      <c r="C374" s="1">
        <v>2047275.3837789299</v>
      </c>
    </row>
    <row r="375" spans="1:3">
      <c r="A375" s="1" t="s">
        <v>81</v>
      </c>
      <c r="B375" s="1" t="s">
        <v>100</v>
      </c>
      <c r="C375" s="1">
        <v>2495942.89022265</v>
      </c>
    </row>
    <row r="376" spans="1:3">
      <c r="A376" s="1" t="s">
        <v>82</v>
      </c>
      <c r="B376" s="1" t="s">
        <v>100</v>
      </c>
      <c r="C376" s="1">
        <v>423401.68293468497</v>
      </c>
    </row>
    <row r="377" spans="1:3">
      <c r="A377" s="1" t="s">
        <v>83</v>
      </c>
      <c r="B377" s="1" t="s">
        <v>100</v>
      </c>
      <c r="C377" s="1">
        <v>2749952.8289382099</v>
      </c>
    </row>
    <row r="378" spans="1:3">
      <c r="A378" s="1" t="s">
        <v>84</v>
      </c>
      <c r="B378" s="1" t="s">
        <v>100</v>
      </c>
      <c r="C378" s="1">
        <v>2685695.1663433299</v>
      </c>
    </row>
    <row r="379" spans="1:3">
      <c r="A379" s="1" t="s">
        <v>85</v>
      </c>
      <c r="B379" s="1" t="s">
        <v>100</v>
      </c>
      <c r="C379" s="1">
        <v>3104874.84351318</v>
      </c>
    </row>
    <row r="380" spans="1:3">
      <c r="A380" s="1" t="s">
        <v>86</v>
      </c>
      <c r="B380" s="1" t="s">
        <v>100</v>
      </c>
      <c r="C380" s="1">
        <v>2213543.8747644001</v>
      </c>
    </row>
    <row r="381" spans="1:3">
      <c r="A381" s="1" t="s">
        <v>87</v>
      </c>
      <c r="B381" s="1" t="s">
        <v>100</v>
      </c>
      <c r="C381" s="1">
        <v>1823544.2857401301</v>
      </c>
    </row>
    <row r="382" spans="1:3">
      <c r="A382" s="1" t="s">
        <v>88</v>
      </c>
      <c r="B382" s="1" t="s">
        <v>100</v>
      </c>
      <c r="C382" s="1">
        <v>2426308.2760444102</v>
      </c>
    </row>
    <row r="383" spans="1:3">
      <c r="A383" s="1" t="s">
        <v>89</v>
      </c>
      <c r="B383" s="1" t="s">
        <v>100</v>
      </c>
      <c r="C383" s="1">
        <v>1727903.74760649</v>
      </c>
    </row>
    <row r="384" spans="1:3">
      <c r="A384" s="1" t="s">
        <v>90</v>
      </c>
      <c r="B384" s="1" t="s">
        <v>100</v>
      </c>
      <c r="C384" s="1">
        <v>1564993.99198783</v>
      </c>
    </row>
    <row r="385" spans="1:3">
      <c r="A385" s="1" t="s">
        <v>91</v>
      </c>
      <c r="B385" s="1" t="s">
        <v>100</v>
      </c>
      <c r="C385" s="1">
        <v>1791403.81136782</v>
      </c>
    </row>
    <row r="386" spans="1:3">
      <c r="A386" s="1" t="s">
        <v>92</v>
      </c>
      <c r="B386" s="1" t="s">
        <v>100</v>
      </c>
      <c r="C386" s="1">
        <v>1533366.90647313</v>
      </c>
    </row>
    <row r="387" spans="1:3">
      <c r="A387" s="1" t="s">
        <v>93</v>
      </c>
      <c r="B387" s="1" t="s">
        <v>100</v>
      </c>
      <c r="C387" s="1">
        <v>1381060.64457752</v>
      </c>
    </row>
    <row r="388" spans="1:3">
      <c r="A388" s="1" t="s">
        <v>94</v>
      </c>
      <c r="B388" s="1" t="s">
        <v>100</v>
      </c>
      <c r="C388" s="1">
        <v>1367322.8517825401</v>
      </c>
    </row>
    <row r="389" spans="1:3">
      <c r="A389" s="1" t="s">
        <v>95</v>
      </c>
      <c r="B389" s="1" t="s">
        <v>100</v>
      </c>
      <c r="C389" s="1">
        <v>1866607.3940062299</v>
      </c>
    </row>
    <row r="390" spans="1:3">
      <c r="A390" s="1" t="s">
        <v>96</v>
      </c>
      <c r="B390" s="1" t="s">
        <v>100</v>
      </c>
      <c r="C390" s="1">
        <v>2128658.9904426001</v>
      </c>
    </row>
    <row r="391" spans="1:3">
      <c r="A391" s="1" t="s">
        <v>97</v>
      </c>
      <c r="B391" s="1" t="s">
        <v>101</v>
      </c>
      <c r="C391" s="1">
        <v>77927.516754633602</v>
      </c>
    </row>
    <row r="392" spans="1:3">
      <c r="A392" s="1" t="s">
        <v>11</v>
      </c>
      <c r="B392" s="1" t="s">
        <v>101</v>
      </c>
      <c r="C392" s="1"/>
    </row>
    <row r="393" spans="1:3">
      <c r="A393" s="1" t="s">
        <v>13</v>
      </c>
      <c r="B393" s="1" t="s">
        <v>101</v>
      </c>
      <c r="C393" s="1"/>
    </row>
    <row r="394" spans="1:3">
      <c r="A394" s="1" t="s">
        <v>14</v>
      </c>
      <c r="B394" s="1" t="s">
        <v>101</v>
      </c>
      <c r="C394" s="1"/>
    </row>
    <row r="395" spans="1:3">
      <c r="A395" s="1" t="s">
        <v>15</v>
      </c>
      <c r="B395" s="1" t="s">
        <v>101</v>
      </c>
      <c r="C395" s="1"/>
    </row>
    <row r="396" spans="1:3">
      <c r="A396" s="1" t="s">
        <v>16</v>
      </c>
      <c r="B396" s="1" t="s">
        <v>101</v>
      </c>
      <c r="C396" s="1"/>
    </row>
    <row r="397" spans="1:3">
      <c r="A397" s="1" t="s">
        <v>17</v>
      </c>
      <c r="B397" s="1" t="s">
        <v>101</v>
      </c>
      <c r="C397" s="1"/>
    </row>
    <row r="398" spans="1:3">
      <c r="A398" s="1" t="s">
        <v>18</v>
      </c>
      <c r="B398" s="1" t="s">
        <v>101</v>
      </c>
      <c r="C398" s="1"/>
    </row>
    <row r="399" spans="1:3">
      <c r="A399" s="1" t="s">
        <v>19</v>
      </c>
      <c r="B399" s="1" t="s">
        <v>101</v>
      </c>
      <c r="C399" s="1"/>
    </row>
    <row r="400" spans="1:3">
      <c r="A400" s="1" t="s">
        <v>20</v>
      </c>
      <c r="B400" s="1" t="s">
        <v>101</v>
      </c>
      <c r="C400" s="1"/>
    </row>
    <row r="401" spans="1:3">
      <c r="A401" s="1" t="s">
        <v>21</v>
      </c>
      <c r="B401" s="1" t="s">
        <v>101</v>
      </c>
      <c r="C401" s="1"/>
    </row>
    <row r="402" spans="1:3">
      <c r="A402" s="1" t="s">
        <v>22</v>
      </c>
      <c r="B402" s="1" t="s">
        <v>101</v>
      </c>
      <c r="C402" s="1"/>
    </row>
    <row r="403" spans="1:3">
      <c r="A403" s="1" t="s">
        <v>24</v>
      </c>
      <c r="B403" s="1" t="s">
        <v>101</v>
      </c>
      <c r="C403" s="1"/>
    </row>
    <row r="404" spans="1:3">
      <c r="A404" s="1" t="s">
        <v>25</v>
      </c>
      <c r="B404" s="1" t="s">
        <v>101</v>
      </c>
      <c r="C404" s="1"/>
    </row>
    <row r="405" spans="1:3">
      <c r="A405" s="1" t="s">
        <v>26</v>
      </c>
      <c r="B405" s="1" t="s">
        <v>101</v>
      </c>
      <c r="C405" s="1"/>
    </row>
    <row r="406" spans="1:3">
      <c r="A406" s="1" t="s">
        <v>27</v>
      </c>
      <c r="B406" s="1" t="s">
        <v>101</v>
      </c>
      <c r="C406" s="1"/>
    </row>
    <row r="407" spans="1:3">
      <c r="A407" s="1" t="s">
        <v>28</v>
      </c>
      <c r="B407" s="1" t="s">
        <v>101</v>
      </c>
      <c r="C407" s="1"/>
    </row>
    <row r="408" spans="1:3">
      <c r="A408" s="1" t="s">
        <v>29</v>
      </c>
      <c r="B408" s="1" t="s">
        <v>101</v>
      </c>
      <c r="C408" s="1"/>
    </row>
    <row r="409" spans="1:3">
      <c r="A409" s="1" t="s">
        <v>30</v>
      </c>
      <c r="B409" s="1" t="s">
        <v>101</v>
      </c>
      <c r="C409" s="1"/>
    </row>
    <row r="410" spans="1:3">
      <c r="A410" s="1" t="s">
        <v>31</v>
      </c>
      <c r="B410" s="1" t="s">
        <v>101</v>
      </c>
      <c r="C410" s="1"/>
    </row>
    <row r="411" spans="1:3">
      <c r="A411" s="1" t="s">
        <v>32</v>
      </c>
      <c r="B411" s="1" t="s">
        <v>101</v>
      </c>
      <c r="C411" s="1"/>
    </row>
    <row r="412" spans="1:3">
      <c r="A412" s="1" t="s">
        <v>33</v>
      </c>
      <c r="B412" s="1" t="s">
        <v>101</v>
      </c>
      <c r="C412" s="1"/>
    </row>
    <row r="413" spans="1:3">
      <c r="A413" s="1" t="s">
        <v>34</v>
      </c>
      <c r="B413" s="1" t="s">
        <v>101</v>
      </c>
      <c r="C413" s="1"/>
    </row>
    <row r="414" spans="1:3">
      <c r="A414" s="1" t="s">
        <v>35</v>
      </c>
      <c r="B414" s="1" t="s">
        <v>101</v>
      </c>
      <c r="C414" s="1"/>
    </row>
    <row r="415" spans="1:3">
      <c r="A415" s="1" t="s">
        <v>36</v>
      </c>
      <c r="B415" s="1" t="s">
        <v>101</v>
      </c>
      <c r="C415" s="1"/>
    </row>
    <row r="416" spans="1:3">
      <c r="A416" s="1" t="s">
        <v>37</v>
      </c>
      <c r="B416" s="1" t="s">
        <v>101</v>
      </c>
      <c r="C416" s="1"/>
    </row>
    <row r="417" spans="1:3">
      <c r="A417" s="1" t="s">
        <v>38</v>
      </c>
      <c r="B417" s="1" t="s">
        <v>101</v>
      </c>
      <c r="C417" s="1"/>
    </row>
    <row r="418" spans="1:3">
      <c r="A418" s="1" t="s">
        <v>39</v>
      </c>
      <c r="B418" s="1" t="s">
        <v>101</v>
      </c>
      <c r="C418" s="1"/>
    </row>
    <row r="419" spans="1:3">
      <c r="A419" s="1" t="s">
        <v>40</v>
      </c>
      <c r="B419" s="1" t="s">
        <v>101</v>
      </c>
      <c r="C419" s="1"/>
    </row>
    <row r="420" spans="1:3">
      <c r="A420" s="1" t="s">
        <v>41</v>
      </c>
      <c r="B420" s="1" t="s">
        <v>101</v>
      </c>
      <c r="C420" s="1"/>
    </row>
    <row r="421" spans="1:3">
      <c r="A421" s="1" t="s">
        <v>42</v>
      </c>
      <c r="B421" s="1" t="s">
        <v>101</v>
      </c>
      <c r="C421" s="1"/>
    </row>
    <row r="422" spans="1:3">
      <c r="A422" s="1" t="s">
        <v>43</v>
      </c>
      <c r="B422" s="1" t="s">
        <v>101</v>
      </c>
      <c r="C422" s="1"/>
    </row>
    <row r="423" spans="1:3">
      <c r="A423" s="1" t="s">
        <v>44</v>
      </c>
      <c r="B423" s="1" t="s">
        <v>101</v>
      </c>
      <c r="C423" s="1"/>
    </row>
    <row r="424" spans="1:3">
      <c r="A424" s="1" t="s">
        <v>45</v>
      </c>
      <c r="B424" s="1" t="s">
        <v>101</v>
      </c>
      <c r="C424" s="1"/>
    </row>
    <row r="425" spans="1:3">
      <c r="A425" s="1" t="s">
        <v>46</v>
      </c>
      <c r="B425" s="1" t="s">
        <v>101</v>
      </c>
      <c r="C425" s="1"/>
    </row>
    <row r="426" spans="1:3">
      <c r="A426" s="1" t="s">
        <v>47</v>
      </c>
      <c r="B426" s="1" t="s">
        <v>101</v>
      </c>
      <c r="C426" s="1"/>
    </row>
    <row r="427" spans="1:3">
      <c r="A427" s="1" t="s">
        <v>48</v>
      </c>
      <c r="B427" s="1" t="s">
        <v>101</v>
      </c>
      <c r="C427" s="1"/>
    </row>
    <row r="428" spans="1:3">
      <c r="A428" s="1" t="s">
        <v>49</v>
      </c>
      <c r="B428" s="1" t="s">
        <v>101</v>
      </c>
      <c r="C428" s="1"/>
    </row>
    <row r="429" spans="1:3">
      <c r="A429" s="1" t="s">
        <v>50</v>
      </c>
      <c r="B429" s="1" t="s">
        <v>101</v>
      </c>
      <c r="C429" s="1"/>
    </row>
    <row r="430" spans="1:3">
      <c r="A430" s="1" t="s">
        <v>51</v>
      </c>
      <c r="B430" s="1" t="s">
        <v>101</v>
      </c>
      <c r="C430" s="1"/>
    </row>
    <row r="431" spans="1:3">
      <c r="A431" s="1" t="s">
        <v>52</v>
      </c>
      <c r="B431" s="1" t="s">
        <v>101</v>
      </c>
      <c r="C431" s="1"/>
    </row>
    <row r="432" spans="1:3">
      <c r="A432" s="1" t="s">
        <v>53</v>
      </c>
      <c r="B432" s="1" t="s">
        <v>101</v>
      </c>
      <c r="C432" s="1"/>
    </row>
    <row r="433" spans="1:3">
      <c r="A433" s="1" t="s">
        <v>54</v>
      </c>
      <c r="B433" s="1" t="s">
        <v>101</v>
      </c>
      <c r="C433" s="1"/>
    </row>
    <row r="434" spans="1:3">
      <c r="A434" s="1" t="s">
        <v>55</v>
      </c>
      <c r="B434" s="1" t="s">
        <v>101</v>
      </c>
      <c r="C434" s="1"/>
    </row>
    <row r="435" spans="1:3">
      <c r="A435" s="1" t="s">
        <v>56</v>
      </c>
      <c r="B435" s="1" t="s">
        <v>101</v>
      </c>
      <c r="C435" s="1"/>
    </row>
    <row r="436" spans="1:3">
      <c r="A436" s="1" t="s">
        <v>57</v>
      </c>
      <c r="B436" s="1" t="s">
        <v>101</v>
      </c>
      <c r="C436" s="1"/>
    </row>
    <row r="437" spans="1:3">
      <c r="A437" s="1" t="s">
        <v>58</v>
      </c>
      <c r="B437" s="1" t="s">
        <v>101</v>
      </c>
      <c r="C437" s="1"/>
    </row>
    <row r="438" spans="1:3">
      <c r="A438" s="1" t="s">
        <v>59</v>
      </c>
      <c r="B438" s="1" t="s">
        <v>101</v>
      </c>
      <c r="C438" s="1"/>
    </row>
    <row r="439" spans="1:3">
      <c r="A439" s="1" t="s">
        <v>60</v>
      </c>
      <c r="B439" s="1" t="s">
        <v>101</v>
      </c>
      <c r="C439" s="1">
        <v>27405.725007682402</v>
      </c>
    </row>
    <row r="440" spans="1:3">
      <c r="A440" s="1" t="s">
        <v>61</v>
      </c>
      <c r="B440" s="1" t="s">
        <v>101</v>
      </c>
      <c r="C440" s="1">
        <v>33440.047476112399</v>
      </c>
    </row>
    <row r="441" spans="1:3">
      <c r="A441" s="1" t="s">
        <v>62</v>
      </c>
      <c r="B441" s="1" t="s">
        <v>101</v>
      </c>
      <c r="C441" s="1">
        <v>23488.529940236</v>
      </c>
    </row>
    <row r="442" spans="1:3">
      <c r="A442" s="1" t="s">
        <v>63</v>
      </c>
      <c r="B442" s="1" t="s">
        <v>101</v>
      </c>
      <c r="C442" s="1">
        <v>31896.660209444701</v>
      </c>
    </row>
    <row r="443" spans="1:3">
      <c r="A443" s="1" t="s">
        <v>64</v>
      </c>
      <c r="B443" s="1" t="s">
        <v>101</v>
      </c>
      <c r="C443" s="1">
        <v>27647.3499533656</v>
      </c>
    </row>
    <row r="444" spans="1:3">
      <c r="A444" s="1" t="s">
        <v>65</v>
      </c>
      <c r="B444" s="1" t="s">
        <v>101</v>
      </c>
      <c r="C444" s="1">
        <v>29730.705124195501</v>
      </c>
    </row>
    <row r="445" spans="1:3">
      <c r="A445" s="1" t="s">
        <v>2</v>
      </c>
      <c r="B445" s="1" t="s">
        <v>101</v>
      </c>
      <c r="C445" s="1">
        <v>34302.4424231218</v>
      </c>
    </row>
    <row r="446" spans="1:3">
      <c r="A446" s="1" t="s">
        <v>2</v>
      </c>
      <c r="B446" s="1" t="s">
        <v>101</v>
      </c>
      <c r="C446" s="1">
        <v>34302.4424231218</v>
      </c>
    </row>
    <row r="447" spans="1:3">
      <c r="A447" s="1" t="s">
        <v>66</v>
      </c>
      <c r="B447" s="1" t="s">
        <v>101</v>
      </c>
      <c r="C447" s="1">
        <v>35980.420176719395</v>
      </c>
    </row>
    <row r="448" spans="1:3">
      <c r="A448" s="1" t="s">
        <v>67</v>
      </c>
      <c r="B448" s="1" t="s">
        <v>101</v>
      </c>
      <c r="C448" s="1">
        <v>32837.632572711496</v>
      </c>
    </row>
    <row r="449" spans="1:3">
      <c r="A449" s="1" t="s">
        <v>68</v>
      </c>
      <c r="B449" s="1" t="s">
        <v>101</v>
      </c>
      <c r="C449" s="1">
        <v>40667.825228109803</v>
      </c>
    </row>
    <row r="450" spans="1:3">
      <c r="A450" s="1" t="s">
        <v>5</v>
      </c>
      <c r="B450" s="1" t="s">
        <v>101</v>
      </c>
      <c r="C450" s="1">
        <v>87988.415637669998</v>
      </c>
    </row>
    <row r="451" spans="1:3">
      <c r="A451" s="1" t="s">
        <v>4</v>
      </c>
      <c r="B451" s="1" t="s">
        <v>101</v>
      </c>
      <c r="C451" s="1">
        <v>95074.990442228504</v>
      </c>
    </row>
    <row r="452" spans="1:3">
      <c r="A452" s="1" t="s">
        <v>5</v>
      </c>
      <c r="B452" s="1" t="s">
        <v>101</v>
      </c>
      <c r="C452" s="1">
        <v>87988.415637669998</v>
      </c>
    </row>
    <row r="453" spans="1:3">
      <c r="A453" s="1" t="s">
        <v>6</v>
      </c>
      <c r="B453" s="1" t="s">
        <v>101</v>
      </c>
      <c r="C453" s="1">
        <v>66701.415503519602</v>
      </c>
    </row>
    <row r="454" spans="1:3">
      <c r="A454" s="1" t="s">
        <v>7</v>
      </c>
      <c r="B454" s="1" t="s">
        <v>101</v>
      </c>
      <c r="C454" s="1">
        <v>68927.565135793804</v>
      </c>
    </row>
    <row r="455" spans="1:3">
      <c r="A455" s="1" t="s">
        <v>69</v>
      </c>
      <c r="B455" s="1" t="s">
        <v>101</v>
      </c>
      <c r="C455" s="1">
        <v>66962.1901911678</v>
      </c>
    </row>
    <row r="456" spans="1:3">
      <c r="A456" s="1" t="s">
        <v>70</v>
      </c>
      <c r="B456" s="1" t="s">
        <v>101</v>
      </c>
      <c r="C456" s="1">
        <v>24453.555532939499</v>
      </c>
    </row>
    <row r="457" spans="1:3">
      <c r="A457" s="1" t="s">
        <v>8</v>
      </c>
      <c r="B457" s="1" t="s">
        <v>101</v>
      </c>
      <c r="C457" s="1">
        <v>87429.069173106502</v>
      </c>
    </row>
    <row r="458" spans="1:3">
      <c r="A458" s="1" t="s">
        <v>9</v>
      </c>
      <c r="B458" s="1" t="s">
        <v>101</v>
      </c>
      <c r="C458" s="1">
        <v>77531.358667218403</v>
      </c>
    </row>
    <row r="459" spans="1:3">
      <c r="A459" s="1" t="s">
        <v>10</v>
      </c>
      <c r="B459" s="1" t="s">
        <v>101</v>
      </c>
      <c r="C459" s="1">
        <v>70094.315238242692</v>
      </c>
    </row>
    <row r="460" spans="1:3">
      <c r="A460" s="1" t="s">
        <v>71</v>
      </c>
      <c r="B460" s="1" t="s">
        <v>101</v>
      </c>
      <c r="C460" s="1">
        <v>73576.390135013993</v>
      </c>
    </row>
    <row r="461" spans="1:3">
      <c r="A461" s="1" t="s">
        <v>72</v>
      </c>
      <c r="B461" s="1" t="s">
        <v>101</v>
      </c>
      <c r="C461" s="1">
        <v>67250.561089647192</v>
      </c>
    </row>
    <row r="462" spans="1:3">
      <c r="A462" s="1" t="s">
        <v>73</v>
      </c>
      <c r="B462" s="1" t="s">
        <v>101</v>
      </c>
      <c r="C462" s="1">
        <v>94564.7865732434</v>
      </c>
    </row>
    <row r="463" spans="1:3">
      <c r="A463" s="1" t="s">
        <v>74</v>
      </c>
      <c r="B463" s="1" t="s">
        <v>101</v>
      </c>
      <c r="C463" s="1">
        <v>95794.303203419506</v>
      </c>
    </row>
    <row r="464" spans="1:3">
      <c r="A464" s="1" t="s">
        <v>75</v>
      </c>
      <c r="B464" s="1" t="s">
        <v>101</v>
      </c>
      <c r="C464" s="1">
        <v>103165.32408863801</v>
      </c>
    </row>
    <row r="465" spans="1:3">
      <c r="A465" s="1" t="s">
        <v>76</v>
      </c>
      <c r="B465" s="1" t="s">
        <v>101</v>
      </c>
      <c r="C465" s="1">
        <v>94153.817955342893</v>
      </c>
    </row>
    <row r="466" spans="1:3">
      <c r="A466" s="1" t="s">
        <v>77</v>
      </c>
      <c r="B466" s="1" t="s">
        <v>101</v>
      </c>
      <c r="C466" s="1">
        <v>95984.235278485896</v>
      </c>
    </row>
    <row r="467" spans="1:3">
      <c r="A467" s="1" t="s">
        <v>78</v>
      </c>
      <c r="B467" s="1" t="s">
        <v>101</v>
      </c>
      <c r="C467" s="1">
        <v>100111.181109329</v>
      </c>
    </row>
    <row r="468" spans="1:3">
      <c r="A468" s="1" t="s">
        <v>79</v>
      </c>
      <c r="B468" s="1" t="s">
        <v>101</v>
      </c>
      <c r="C468" s="1">
        <v>56280.710311157498</v>
      </c>
    </row>
    <row r="469" spans="1:3">
      <c r="A469" s="1" t="s">
        <v>80</v>
      </c>
      <c r="B469" s="1" t="s">
        <v>101</v>
      </c>
      <c r="C469" s="1">
        <v>72728.176105186692</v>
      </c>
    </row>
    <row r="470" spans="1:3">
      <c r="A470" s="1" t="s">
        <v>81</v>
      </c>
      <c r="B470" s="1" t="s">
        <v>101</v>
      </c>
      <c r="C470" s="1">
        <v>105342.85822301601</v>
      </c>
    </row>
    <row r="471" spans="1:3">
      <c r="A471" s="1" t="s">
        <v>82</v>
      </c>
      <c r="B471" s="1" t="s">
        <v>101</v>
      </c>
      <c r="C471" s="1">
        <v>16210.6994088473</v>
      </c>
    </row>
    <row r="472" spans="1:3">
      <c r="A472" s="1" t="s">
        <v>83</v>
      </c>
      <c r="B472" s="1" t="s">
        <v>101</v>
      </c>
      <c r="C472" s="1">
        <v>118835.76359294</v>
      </c>
    </row>
    <row r="473" spans="1:3">
      <c r="A473" s="1" t="s">
        <v>84</v>
      </c>
      <c r="B473" s="1" t="s">
        <v>101</v>
      </c>
      <c r="C473" s="1">
        <v>114803.10239164</v>
      </c>
    </row>
    <row r="474" spans="1:3">
      <c r="A474" s="1" t="s">
        <v>85</v>
      </c>
      <c r="B474" s="1" t="s">
        <v>101</v>
      </c>
      <c r="C474" s="1">
        <v>132186.56271407401</v>
      </c>
    </row>
    <row r="475" spans="1:3">
      <c r="A475" s="1" t="s">
        <v>86</v>
      </c>
      <c r="B475" s="1" t="s">
        <v>101</v>
      </c>
      <c r="C475" s="1">
        <v>82958.8168528143</v>
      </c>
    </row>
    <row r="476" spans="1:3">
      <c r="A476" s="1" t="s">
        <v>87</v>
      </c>
      <c r="B476" s="1" t="s">
        <v>101</v>
      </c>
      <c r="C476" s="1">
        <v>67936.1803277461</v>
      </c>
    </row>
    <row r="477" spans="1:3">
      <c r="A477" s="1" t="s">
        <v>88</v>
      </c>
      <c r="B477" s="1" t="s">
        <v>101</v>
      </c>
      <c r="C477" s="1">
        <v>91934.799189925514</v>
      </c>
    </row>
    <row r="478" spans="1:3">
      <c r="A478" s="1" t="s">
        <v>89</v>
      </c>
      <c r="B478" s="1" t="s">
        <v>101</v>
      </c>
      <c r="C478" s="1">
        <v>74595.069828984299</v>
      </c>
    </row>
    <row r="479" spans="1:3">
      <c r="A479" s="1" t="s">
        <v>90</v>
      </c>
      <c r="B479" s="1" t="s">
        <v>101</v>
      </c>
      <c r="C479" s="1">
        <v>67129.062650292602</v>
      </c>
    </row>
    <row r="480" spans="1:3">
      <c r="A480" s="1" t="s">
        <v>91</v>
      </c>
      <c r="B480" s="1" t="s">
        <v>101</v>
      </c>
      <c r="C480" s="1">
        <v>80344.037340894894</v>
      </c>
    </row>
    <row r="481" spans="1:3">
      <c r="A481" s="1" t="s">
        <v>92</v>
      </c>
      <c r="B481" s="1" t="s">
        <v>101</v>
      </c>
      <c r="C481" s="1">
        <v>62211.8718659675</v>
      </c>
    </row>
    <row r="482" spans="1:3">
      <c r="A482" s="1" t="s">
        <v>93</v>
      </c>
      <c r="B482" s="1" t="s">
        <v>101</v>
      </c>
      <c r="C482" s="1">
        <v>55073.310394194297</v>
      </c>
    </row>
    <row r="483" spans="1:3">
      <c r="A483" s="1" t="s">
        <v>94</v>
      </c>
      <c r="B483" s="1" t="s">
        <v>101</v>
      </c>
      <c r="C483" s="1">
        <v>54791.379719200304</v>
      </c>
    </row>
    <row r="484" spans="1:3">
      <c r="A484" s="1" t="s">
        <v>95</v>
      </c>
      <c r="B484" s="1" t="s">
        <v>101</v>
      </c>
      <c r="C484" s="1">
        <v>58680.557112367103</v>
      </c>
    </row>
    <row r="485" spans="1:3">
      <c r="A485" s="1" t="s">
        <v>96</v>
      </c>
      <c r="B485" s="1" t="s">
        <v>101</v>
      </c>
      <c r="C485" s="1">
        <v>67894.137181485698</v>
      </c>
    </row>
  </sheetData>
  <sortState xmlns:xlrd2="http://schemas.microsoft.com/office/spreadsheetml/2017/richdata2" ref="A2:E486">
    <sortCondition ref="B2:B48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B8384-165F-49F3-8C95-13CD7636B185}">
  <dimension ref="A1:AH97"/>
  <sheetViews>
    <sheetView tabSelected="1" zoomScale="80" zoomScaleNormal="80" workbookViewId="0">
      <selection activeCell="K15" sqref="K15"/>
    </sheetView>
  </sheetViews>
  <sheetFormatPr defaultColWidth="11.42578125" defaultRowHeight="15"/>
  <cols>
    <col min="1" max="1" width="11.85546875" customWidth="1"/>
    <col min="4" max="4" width="14" customWidth="1"/>
    <col min="12" max="12" width="15.42578125" customWidth="1"/>
    <col min="13" max="13" width="12.28515625" customWidth="1"/>
    <col min="14" max="14" width="11.42578125" style="8"/>
  </cols>
  <sheetData>
    <row r="1" spans="1:34">
      <c r="A1" s="8" t="s">
        <v>102</v>
      </c>
      <c r="B1" s="8" t="s">
        <v>103</v>
      </c>
      <c r="C1" s="8" t="s">
        <v>104</v>
      </c>
      <c r="D1" s="8" t="s">
        <v>0</v>
      </c>
      <c r="E1" s="8" t="s">
        <v>1</v>
      </c>
      <c r="F1" s="8" t="s">
        <v>105</v>
      </c>
      <c r="G1" s="8" t="s">
        <v>106</v>
      </c>
      <c r="H1" s="8" t="s">
        <v>107</v>
      </c>
      <c r="I1" s="8" t="s">
        <v>108</v>
      </c>
      <c r="J1" s="8" t="s">
        <v>109</v>
      </c>
      <c r="K1" s="8" t="s">
        <v>110</v>
      </c>
      <c r="L1" s="8" t="s">
        <v>111</v>
      </c>
      <c r="M1" s="8" t="s">
        <v>112</v>
      </c>
      <c r="N1" s="8" t="s">
        <v>113</v>
      </c>
      <c r="P1" s="10" t="s">
        <v>114</v>
      </c>
      <c r="Q1" s="11"/>
      <c r="R1" s="11"/>
    </row>
    <row r="2" spans="1:34" s="3" customFormat="1">
      <c r="A2" s="2" t="s">
        <v>11</v>
      </c>
      <c r="B2" s="5" t="s">
        <v>115</v>
      </c>
      <c r="C2" s="2" t="s">
        <v>116</v>
      </c>
      <c r="D2" s="2" t="s">
        <v>12</v>
      </c>
      <c r="E2" s="2">
        <v>9838.399672013471</v>
      </c>
      <c r="F2" s="2">
        <f>(E2+7834.9)/50847</f>
        <v>0.34757802175179398</v>
      </c>
      <c r="G2" s="2">
        <f>(F2/1000)*1000</f>
        <v>0.34757802175179398</v>
      </c>
      <c r="H2" s="3">
        <v>9.8400000000000001E-2</v>
      </c>
      <c r="I2" s="3">
        <v>0.5</v>
      </c>
      <c r="J2" s="3">
        <v>1.64</v>
      </c>
      <c r="K2" s="3">
        <v>1.03</v>
      </c>
      <c r="L2" s="6">
        <f>G2*I2/H2</f>
        <v>1.7661484845111481</v>
      </c>
      <c r="M2" s="6">
        <f>L2*J2/K2</f>
        <v>2.812119917085711</v>
      </c>
      <c r="N2" s="9">
        <f>AVERAGE(M2:M4)</f>
        <v>2.4968679359668791</v>
      </c>
      <c r="O2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</row>
    <row r="3" spans="1:34" s="3" customFormat="1">
      <c r="A3" s="2" t="s">
        <v>13</v>
      </c>
      <c r="B3" s="5" t="s">
        <v>115</v>
      </c>
      <c r="C3" s="2" t="s">
        <v>116</v>
      </c>
      <c r="D3" s="2" t="s">
        <v>12</v>
      </c>
      <c r="E3" s="2">
        <v>4718.4102093281599</v>
      </c>
      <c r="F3" s="2">
        <f t="shared" ref="F3:F66" si="0">(E3+7834.9)/50847</f>
        <v>0.24688398940602513</v>
      </c>
      <c r="G3" s="2">
        <f t="shared" ref="G3:G66" si="1">(F3/1000)*1000</f>
        <v>0.24688398940602513</v>
      </c>
      <c r="H3" s="3">
        <v>9.4700000000000006E-2</v>
      </c>
      <c r="I3" s="3">
        <v>0.5</v>
      </c>
      <c r="J3" s="3">
        <v>1.64</v>
      </c>
      <c r="K3" s="3">
        <v>1.03</v>
      </c>
      <c r="L3" s="6">
        <f t="shared" ref="L3:L66" si="2">G3*I3/H3</f>
        <v>1.3035057518797524</v>
      </c>
      <c r="M3" s="6">
        <f t="shared" ref="M3:M66" si="3">L3*J3/K3</f>
        <v>2.0754848864881494</v>
      </c>
      <c r="N3" s="8"/>
      <c r="O3"/>
      <c r="P3" s="10" t="s">
        <v>117</v>
      </c>
      <c r="Q3" s="19" t="s">
        <v>113</v>
      </c>
      <c r="R3" s="19" t="s">
        <v>118</v>
      </c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</row>
    <row r="4" spans="1:34" s="3" customFormat="1">
      <c r="A4" s="2" t="s">
        <v>14</v>
      </c>
      <c r="B4" s="5" t="s">
        <v>115</v>
      </c>
      <c r="C4" s="2" t="s">
        <v>116</v>
      </c>
      <c r="D4" s="2" t="s">
        <v>12</v>
      </c>
      <c r="E4" s="2">
        <v>8657.1400531122217</v>
      </c>
      <c r="F4" s="2">
        <f t="shared" si="0"/>
        <v>0.32434637349523515</v>
      </c>
      <c r="G4" s="2">
        <f t="shared" si="1"/>
        <v>0.32434637349523515</v>
      </c>
      <c r="H4" s="3">
        <v>9.9199999999999997E-2</v>
      </c>
      <c r="I4" s="3">
        <v>0.5</v>
      </c>
      <c r="J4" s="3">
        <v>1.64</v>
      </c>
      <c r="K4" s="3">
        <v>1.03</v>
      </c>
      <c r="L4" s="6">
        <f t="shared" si="2"/>
        <v>1.634810350278403</v>
      </c>
      <c r="M4" s="6">
        <f t="shared" si="3"/>
        <v>2.6029990043267772</v>
      </c>
      <c r="N4" s="8"/>
      <c r="O4"/>
      <c r="P4" s="11" t="s">
        <v>119</v>
      </c>
      <c r="Q4" s="12">
        <f>AVERAGE(N2,N17,N29,N38)</f>
        <v>2.7468432210764635</v>
      </c>
      <c r="R4" s="12">
        <f>STDEV(N2,N17,N29,N38)/SQRT(4)</f>
        <v>0.29476009163352285</v>
      </c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</row>
    <row r="5" spans="1:34">
      <c r="A5" s="1" t="s">
        <v>15</v>
      </c>
      <c r="B5" s="4" t="s">
        <v>120</v>
      </c>
      <c r="C5" s="1" t="s">
        <v>116</v>
      </c>
      <c r="D5" s="1" t="s">
        <v>12</v>
      </c>
      <c r="E5" s="1">
        <v>3555.6349964012402</v>
      </c>
      <c r="F5" s="1">
        <f t="shared" si="0"/>
        <v>0.22401587107206405</v>
      </c>
      <c r="G5" s="2">
        <f t="shared" si="1"/>
        <v>0.22401587107206405</v>
      </c>
      <c r="H5">
        <v>9.6799999999999997E-2</v>
      </c>
      <c r="I5">
        <v>0.5</v>
      </c>
      <c r="J5">
        <v>1.31</v>
      </c>
      <c r="K5">
        <v>0.99</v>
      </c>
      <c r="L5" s="6">
        <f t="shared" si="2"/>
        <v>1.1571067720664465</v>
      </c>
      <c r="M5" s="7">
        <f t="shared" si="3"/>
        <v>1.5311210822293384</v>
      </c>
      <c r="N5" s="9">
        <f>AVERAGE(M5:M7)</f>
        <v>1.7774180867974756</v>
      </c>
      <c r="P5" s="11" t="s">
        <v>121</v>
      </c>
      <c r="Q5" s="12">
        <f>AVERAGE(N8,N23,N32,N47)</f>
        <v>2.5200333911034885</v>
      </c>
      <c r="R5" s="12">
        <f>STDEV(N8,N23,N32,N47)/SQRT(4)</f>
        <v>0.3272703061187473</v>
      </c>
    </row>
    <row r="6" spans="1:34">
      <c r="A6" s="1" t="s">
        <v>16</v>
      </c>
      <c r="B6" s="4" t="s">
        <v>120</v>
      </c>
      <c r="C6" s="1" t="s">
        <v>116</v>
      </c>
      <c r="D6" s="1" t="s">
        <v>12</v>
      </c>
      <c r="E6" s="1">
        <v>4667.7598731163898</v>
      </c>
      <c r="F6" s="1">
        <f t="shared" si="0"/>
        <v>0.24588785716200348</v>
      </c>
      <c r="G6" s="2">
        <f t="shared" si="1"/>
        <v>0.24588785716200345</v>
      </c>
      <c r="H6">
        <v>9.7000000000000003E-2</v>
      </c>
      <c r="I6">
        <v>0.5</v>
      </c>
      <c r="J6">
        <v>1.31</v>
      </c>
      <c r="K6">
        <v>0.99</v>
      </c>
      <c r="L6" s="6">
        <f t="shared" si="2"/>
        <v>1.2674631812474404</v>
      </c>
      <c r="M6" s="7">
        <f t="shared" si="3"/>
        <v>1.6771482499334818</v>
      </c>
      <c r="P6" s="11" t="s">
        <v>122</v>
      </c>
      <c r="Q6" s="12">
        <f>AVERAGE(N5,N14,N26,N41)</f>
        <v>2.3630375960489078</v>
      </c>
      <c r="R6" s="12">
        <f>STDEV(N5,N14,N26,N41)/SQRT(4)</f>
        <v>0.39155186840720341</v>
      </c>
    </row>
    <row r="7" spans="1:34">
      <c r="A7" s="1" t="s">
        <v>17</v>
      </c>
      <c r="B7" s="4" t="s">
        <v>120</v>
      </c>
      <c r="C7" s="1" t="s">
        <v>116</v>
      </c>
      <c r="D7" s="1" t="s">
        <v>12</v>
      </c>
      <c r="E7" s="1">
        <v>8553.7949840230212</v>
      </c>
      <c r="F7" s="1">
        <f t="shared" si="0"/>
        <v>0.32231390217757239</v>
      </c>
      <c r="G7" s="2">
        <f t="shared" si="1"/>
        <v>0.32231390217757239</v>
      </c>
      <c r="H7">
        <v>0.1004</v>
      </c>
      <c r="I7">
        <v>0.5</v>
      </c>
      <c r="J7">
        <v>1.31</v>
      </c>
      <c r="K7">
        <v>0.99</v>
      </c>
      <c r="L7" s="6">
        <f t="shared" si="2"/>
        <v>1.605148915226954</v>
      </c>
      <c r="M7" s="7">
        <f t="shared" si="3"/>
        <v>2.1239849282296057</v>
      </c>
      <c r="P7" s="11" t="s">
        <v>123</v>
      </c>
      <c r="Q7" s="12">
        <f>AVERAGE(N11,N20,N35,N44)</f>
        <v>2.6396449382986908</v>
      </c>
      <c r="R7" s="12">
        <f>STDEV(N11,N20,N44,N35)/SQRT(4)</f>
        <v>0.16714373031797233</v>
      </c>
    </row>
    <row r="8" spans="1:34" s="3" customFormat="1">
      <c r="A8" s="2" t="s">
        <v>18</v>
      </c>
      <c r="B8" s="5" t="s">
        <v>124</v>
      </c>
      <c r="C8" s="2" t="s">
        <v>116</v>
      </c>
      <c r="D8" s="2" t="s">
        <v>12</v>
      </c>
      <c r="E8" s="2">
        <v>9677.0601522147408</v>
      </c>
      <c r="F8" s="2">
        <f t="shared" si="0"/>
        <v>0.34440498263840036</v>
      </c>
      <c r="G8" s="2">
        <f t="shared" si="1"/>
        <v>0.34440498263840036</v>
      </c>
      <c r="H8" s="3">
        <v>0.1036</v>
      </c>
      <c r="I8" s="3">
        <v>0.5</v>
      </c>
      <c r="J8" s="3">
        <v>1.56</v>
      </c>
      <c r="K8" s="3">
        <v>1.01</v>
      </c>
      <c r="L8" s="6">
        <f t="shared" si="2"/>
        <v>1.6621862096447895</v>
      </c>
      <c r="M8" s="6">
        <f t="shared" si="3"/>
        <v>2.5673371158870015</v>
      </c>
      <c r="N8" s="9">
        <f>AVERAGE(M8:M10)</f>
        <v>2.9940168513775287</v>
      </c>
      <c r="O8"/>
      <c r="P8" s="10" t="s">
        <v>125</v>
      </c>
      <c r="Q8" s="11"/>
      <c r="R8" s="11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</row>
    <row r="9" spans="1:34" s="3" customFormat="1">
      <c r="A9" s="2" t="s">
        <v>19</v>
      </c>
      <c r="B9" s="5" t="s">
        <v>124</v>
      </c>
      <c r="C9" s="2" t="s">
        <v>116</v>
      </c>
      <c r="D9" s="2" t="s">
        <v>12</v>
      </c>
      <c r="E9" s="2">
        <v>17026.364774656202</v>
      </c>
      <c r="F9" s="2">
        <f t="shared" si="0"/>
        <v>0.48894260771837472</v>
      </c>
      <c r="G9" s="2">
        <f t="shared" si="1"/>
        <v>0.48894260771837467</v>
      </c>
      <c r="H9" s="3">
        <v>0.10340000000000001</v>
      </c>
      <c r="I9" s="3">
        <v>0.5</v>
      </c>
      <c r="J9" s="3">
        <v>1.56</v>
      </c>
      <c r="K9" s="3">
        <v>1.01</v>
      </c>
      <c r="L9" s="6">
        <f t="shared" si="2"/>
        <v>2.3643259560849836</v>
      </c>
      <c r="M9" s="6">
        <f t="shared" si="3"/>
        <v>3.6518301895966085</v>
      </c>
      <c r="N9" s="8"/>
      <c r="O9"/>
      <c r="P9" s="11" t="s">
        <v>119</v>
      </c>
      <c r="Q9" s="12">
        <f>AVERAGE(N65,N77,N86)</f>
        <v>13.537171945160773</v>
      </c>
      <c r="R9" s="12">
        <f>STDEV(N65,N77,N86)/SQRT(3)</f>
        <v>1.5498609533879835</v>
      </c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</row>
    <row r="10" spans="1:34" s="3" customFormat="1">
      <c r="A10" s="2" t="s">
        <v>20</v>
      </c>
      <c r="B10" s="5" t="s">
        <v>124</v>
      </c>
      <c r="C10" s="2" t="s">
        <v>116</v>
      </c>
      <c r="D10" s="2" t="s">
        <v>12</v>
      </c>
      <c r="E10" s="2">
        <v>11083.655705265999</v>
      </c>
      <c r="F10" s="2">
        <f t="shared" si="0"/>
        <v>0.3720682774847287</v>
      </c>
      <c r="G10" s="2">
        <f t="shared" si="1"/>
        <v>0.3720682774847287</v>
      </c>
      <c r="H10" s="3">
        <v>0.104</v>
      </c>
      <c r="I10" s="3">
        <v>0.5</v>
      </c>
      <c r="J10" s="3">
        <v>1.56</v>
      </c>
      <c r="K10" s="3">
        <v>1.01</v>
      </c>
      <c r="L10" s="6">
        <f t="shared" si="2"/>
        <v>1.7887897955996572</v>
      </c>
      <c r="M10" s="6">
        <f t="shared" si="3"/>
        <v>2.7628832486489756</v>
      </c>
      <c r="N10" s="8"/>
      <c r="O10"/>
      <c r="P10" s="11" t="s">
        <v>121</v>
      </c>
      <c r="Q10" s="12">
        <f>AVERAGE(N71,N80,N95)</f>
        <v>12.177700473853379</v>
      </c>
      <c r="R10" s="12">
        <f>STDEV(N71,N80,N95)/SQRT(3)</f>
        <v>1.1238761555826302</v>
      </c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</row>
    <row r="11" spans="1:34">
      <c r="A11" s="1" t="s">
        <v>21</v>
      </c>
      <c r="B11" s="4" t="s">
        <v>126</v>
      </c>
      <c r="C11" s="1" t="s">
        <v>116</v>
      </c>
      <c r="D11" s="1" t="s">
        <v>12</v>
      </c>
      <c r="E11" s="1">
        <v>4000.6601891089699</v>
      </c>
      <c r="F11" s="1">
        <f t="shared" si="0"/>
        <v>0.23276811196548411</v>
      </c>
      <c r="G11" s="2">
        <f t="shared" si="1"/>
        <v>0.23276811196548411</v>
      </c>
      <c r="H11">
        <v>0.1004</v>
      </c>
      <c r="I11">
        <v>0.5</v>
      </c>
      <c r="J11">
        <v>1.36</v>
      </c>
      <c r="K11">
        <v>0.97</v>
      </c>
      <c r="L11" s="6">
        <f t="shared" si="2"/>
        <v>1.1592037448480284</v>
      </c>
      <c r="M11" s="7">
        <f t="shared" si="3"/>
        <v>1.6252753536013596</v>
      </c>
      <c r="N11" s="9">
        <f>AVERAGE(M11:M13)</f>
        <v>2.6824354296287436</v>
      </c>
      <c r="P11" s="11" t="s">
        <v>122</v>
      </c>
      <c r="Q11" s="12">
        <f>AVERAGE(N62,N74,N89)</f>
        <v>14.708814428002265</v>
      </c>
      <c r="R11" s="12">
        <f>STDEV(N62,N74,N89)</f>
        <v>4.4939422240189568</v>
      </c>
    </row>
    <row r="12" spans="1:34">
      <c r="A12" s="1" t="s">
        <v>22</v>
      </c>
      <c r="B12" s="4" t="s">
        <v>126</v>
      </c>
      <c r="C12" s="1" t="s">
        <v>116</v>
      </c>
      <c r="D12" s="1" t="s">
        <v>12</v>
      </c>
      <c r="E12" s="1">
        <v>6339.3474570016506</v>
      </c>
      <c r="F12" s="1">
        <f t="shared" si="0"/>
        <v>0.27876270885207877</v>
      </c>
      <c r="G12" s="2">
        <f t="shared" si="1"/>
        <v>0.27876270885207877</v>
      </c>
      <c r="H12">
        <v>9.5000000000000001E-2</v>
      </c>
      <c r="I12">
        <v>0.5</v>
      </c>
      <c r="J12">
        <v>1.36</v>
      </c>
      <c r="K12">
        <v>0.97</v>
      </c>
      <c r="L12" s="6">
        <f t="shared" si="2"/>
        <v>1.4671721518530461</v>
      </c>
      <c r="M12" s="7">
        <f t="shared" si="3"/>
        <v>2.0570661098145804</v>
      </c>
      <c r="P12" s="11" t="s">
        <v>123</v>
      </c>
      <c r="Q12" s="12">
        <f>AVERAGE(N68,N59,N83,N92)</f>
        <v>11.568800286589367</v>
      </c>
      <c r="R12" s="12">
        <f>STDEV(N59,N68,N83,N92)/SQRT(4)</f>
        <v>0.628671230924158</v>
      </c>
    </row>
    <row r="13" spans="1:34">
      <c r="A13" s="1" t="s">
        <v>23</v>
      </c>
      <c r="B13" s="4" t="s">
        <v>126</v>
      </c>
      <c r="C13" s="1" t="s">
        <v>116</v>
      </c>
      <c r="D13" s="1" t="s">
        <v>12</v>
      </c>
      <c r="E13">
        <v>24109.892431712298</v>
      </c>
      <c r="F13" s="1">
        <f t="shared" si="0"/>
        <v>0.6282532387694908</v>
      </c>
      <c r="G13" s="2">
        <f t="shared" si="1"/>
        <v>0.6282532387694908</v>
      </c>
      <c r="H13">
        <v>0.1009</v>
      </c>
      <c r="I13">
        <v>0.5</v>
      </c>
      <c r="J13">
        <v>1.36</v>
      </c>
      <c r="K13">
        <v>0.97</v>
      </c>
      <c r="L13" s="6">
        <f t="shared" si="2"/>
        <v>3.1132469711074866</v>
      </c>
      <c r="M13" s="7">
        <f t="shared" si="3"/>
        <v>4.3649648254702909</v>
      </c>
    </row>
    <row r="14" spans="1:34" s="3" customFormat="1">
      <c r="A14" s="2" t="s">
        <v>24</v>
      </c>
      <c r="B14" s="5" t="s">
        <v>127</v>
      </c>
      <c r="C14" s="2" t="s">
        <v>116</v>
      </c>
      <c r="D14" s="2" t="s">
        <v>12</v>
      </c>
      <c r="E14" s="2">
        <v>2941.5752943949101</v>
      </c>
      <c r="F14" s="2">
        <f t="shared" si="0"/>
        <v>0.21193925490972743</v>
      </c>
      <c r="G14" s="2">
        <f t="shared" si="1"/>
        <v>0.21193925490972743</v>
      </c>
      <c r="H14" s="3">
        <v>0.10150000000000001</v>
      </c>
      <c r="I14" s="3">
        <v>0.5</v>
      </c>
      <c r="J14" s="3">
        <v>1.43</v>
      </c>
      <c r="K14" s="3">
        <v>0.97</v>
      </c>
      <c r="L14" s="6">
        <f t="shared" si="2"/>
        <v>1.0440357384715635</v>
      </c>
      <c r="M14" s="6">
        <f t="shared" si="3"/>
        <v>1.5391454701178719</v>
      </c>
      <c r="N14" s="9">
        <f>AVERAGE(M14:M16)</f>
        <v>1.6829757824088099</v>
      </c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</row>
    <row r="15" spans="1:34" s="3" customFormat="1">
      <c r="A15" s="2" t="s">
        <v>25</v>
      </c>
      <c r="B15" s="5" t="s">
        <v>127</v>
      </c>
      <c r="C15" s="2" t="s">
        <v>116</v>
      </c>
      <c r="D15" s="2" t="s">
        <v>12</v>
      </c>
      <c r="E15" s="2">
        <v>2962.28478275524</v>
      </c>
      <c r="F15" s="2">
        <f t="shared" si="0"/>
        <v>0.21234654517975965</v>
      </c>
      <c r="G15" s="2">
        <f t="shared" si="1"/>
        <v>0.21234654517975965</v>
      </c>
      <c r="H15" s="3">
        <v>9.9299999999999999E-2</v>
      </c>
      <c r="I15" s="3">
        <v>0.5</v>
      </c>
      <c r="J15" s="3">
        <v>1.43</v>
      </c>
      <c r="K15" s="3">
        <v>0.97</v>
      </c>
      <c r="L15" s="6">
        <f t="shared" si="2"/>
        <v>1.0692172466251744</v>
      </c>
      <c r="M15" s="6">
        <f t="shared" si="3"/>
        <v>1.5762687244061848</v>
      </c>
      <c r="N15" s="8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</row>
    <row r="16" spans="1:34" s="3" customFormat="1">
      <c r="A16" s="2" t="s">
        <v>26</v>
      </c>
      <c r="B16" s="5" t="s">
        <v>127</v>
      </c>
      <c r="C16" s="2" t="s">
        <v>116</v>
      </c>
      <c r="D16" s="2" t="s">
        <v>12</v>
      </c>
      <c r="E16" s="2">
        <v>5569.40247441676</v>
      </c>
      <c r="F16" s="2">
        <f t="shared" si="0"/>
        <v>0.26362032124642082</v>
      </c>
      <c r="G16" s="2">
        <f t="shared" si="1"/>
        <v>0.26362032124642082</v>
      </c>
      <c r="H16" s="3">
        <v>0.10050000000000001</v>
      </c>
      <c r="I16" s="3">
        <v>0.5</v>
      </c>
      <c r="J16" s="3">
        <v>1.43</v>
      </c>
      <c r="K16" s="3">
        <v>0.97</v>
      </c>
      <c r="L16" s="6">
        <f t="shared" si="2"/>
        <v>1.3115438867981135</v>
      </c>
      <c r="M16" s="6">
        <f t="shared" si="3"/>
        <v>1.9335131527023734</v>
      </c>
      <c r="N16" s="8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</row>
    <row r="17" spans="1:34">
      <c r="A17" s="1" t="s">
        <v>27</v>
      </c>
      <c r="B17" s="4" t="s">
        <v>128</v>
      </c>
      <c r="C17" s="1" t="s">
        <v>116</v>
      </c>
      <c r="D17" s="1" t="s">
        <v>12</v>
      </c>
      <c r="E17" s="1">
        <v>16198.587470960099</v>
      </c>
      <c r="F17" s="1">
        <f t="shared" si="0"/>
        <v>0.47266284089444999</v>
      </c>
      <c r="G17" s="2">
        <f t="shared" si="1"/>
        <v>0.47266284089444999</v>
      </c>
      <c r="H17">
        <v>0.10489999999999999</v>
      </c>
      <c r="I17">
        <v>0.5</v>
      </c>
      <c r="J17">
        <v>1.27</v>
      </c>
      <c r="K17">
        <v>0.97</v>
      </c>
      <c r="L17" s="6">
        <f t="shared" si="2"/>
        <v>2.2529210719468544</v>
      </c>
      <c r="M17" s="7">
        <f t="shared" si="3"/>
        <v>2.9497007849201085</v>
      </c>
      <c r="N17" s="9">
        <f>AVERAGE(M17:M19)</f>
        <v>3.2769399317559009</v>
      </c>
    </row>
    <row r="18" spans="1:34">
      <c r="A18" s="1" t="s">
        <v>28</v>
      </c>
      <c r="B18" s="4" t="s">
        <v>128</v>
      </c>
      <c r="C18" s="1" t="s">
        <v>116</v>
      </c>
      <c r="D18" s="1" t="s">
        <v>12</v>
      </c>
      <c r="E18" s="1">
        <v>16464.084757622601</v>
      </c>
      <c r="F18" s="1">
        <f t="shared" si="0"/>
        <v>0.47788433452558859</v>
      </c>
      <c r="G18" s="2">
        <f t="shared" si="1"/>
        <v>0.47788433452558859</v>
      </c>
      <c r="H18">
        <v>0.1003</v>
      </c>
      <c r="I18">
        <v>0.5</v>
      </c>
      <c r="J18">
        <v>1.27</v>
      </c>
      <c r="K18">
        <v>0.97</v>
      </c>
      <c r="L18" s="6">
        <f t="shared" si="2"/>
        <v>2.3822748480836919</v>
      </c>
      <c r="M18" s="7">
        <f t="shared" si="3"/>
        <v>3.1190608835734936</v>
      </c>
    </row>
    <row r="19" spans="1:34">
      <c r="A19" s="1" t="s">
        <v>29</v>
      </c>
      <c r="B19" s="4" t="s">
        <v>128</v>
      </c>
      <c r="C19" s="1" t="s">
        <v>116</v>
      </c>
      <c r="D19" s="1" t="s">
        <v>12</v>
      </c>
      <c r="E19" s="1">
        <v>22846.709906955301</v>
      </c>
      <c r="F19" s="1">
        <f t="shared" si="0"/>
        <v>0.60341042553061741</v>
      </c>
      <c r="G19" s="2">
        <f t="shared" si="1"/>
        <v>0.60341042553061741</v>
      </c>
      <c r="H19">
        <v>0.105</v>
      </c>
      <c r="I19">
        <v>0.5</v>
      </c>
      <c r="J19">
        <v>1.27</v>
      </c>
      <c r="K19">
        <v>0.97</v>
      </c>
      <c r="L19" s="6">
        <f t="shared" si="2"/>
        <v>2.8733829787172258</v>
      </c>
      <c r="M19" s="7">
        <f t="shared" si="3"/>
        <v>3.7620581267740998</v>
      </c>
    </row>
    <row r="20" spans="1:34" s="3" customFormat="1">
      <c r="A20" s="2" t="s">
        <v>30</v>
      </c>
      <c r="B20" s="5" t="s">
        <v>129</v>
      </c>
      <c r="C20" s="2" t="s">
        <v>116</v>
      </c>
      <c r="D20" s="2" t="s">
        <v>12</v>
      </c>
      <c r="E20" s="2">
        <v>6480.37015528763</v>
      </c>
      <c r="F20" s="2">
        <f t="shared" si="0"/>
        <v>0.2815361802129453</v>
      </c>
      <c r="G20" s="2">
        <f t="shared" si="1"/>
        <v>0.2815361802129453</v>
      </c>
      <c r="H20" s="3">
        <v>0.10299999999999999</v>
      </c>
      <c r="I20" s="3">
        <v>0.5</v>
      </c>
      <c r="J20" s="3">
        <v>1.7</v>
      </c>
      <c r="K20" s="3">
        <v>1.02</v>
      </c>
      <c r="L20" s="6">
        <f t="shared" si="2"/>
        <v>1.3666804864706084</v>
      </c>
      <c r="M20" s="6">
        <f t="shared" si="3"/>
        <v>2.2778008107843473</v>
      </c>
      <c r="N20" s="9">
        <f>AVERAGE(M20:M22)</f>
        <v>2.2582301061763874</v>
      </c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</row>
    <row r="21" spans="1:34" s="3" customFormat="1">
      <c r="A21" s="2" t="s">
        <v>31</v>
      </c>
      <c r="B21" s="5" t="s">
        <v>129</v>
      </c>
      <c r="C21" s="2" t="s">
        <v>116</v>
      </c>
      <c r="D21" s="2" t="s">
        <v>12</v>
      </c>
      <c r="E21" s="2">
        <v>6638.2272598300306</v>
      </c>
      <c r="F21" s="2">
        <f t="shared" si="0"/>
        <v>0.28464073120990485</v>
      </c>
      <c r="G21" s="2">
        <f t="shared" si="1"/>
        <v>0.28464073120990485</v>
      </c>
      <c r="H21" s="3">
        <v>0.1021</v>
      </c>
      <c r="I21" s="3">
        <v>0.5</v>
      </c>
      <c r="J21" s="3">
        <v>1.7</v>
      </c>
      <c r="K21" s="3">
        <v>1.02</v>
      </c>
      <c r="L21" s="6">
        <f t="shared" si="2"/>
        <v>1.3939311028888584</v>
      </c>
      <c r="M21" s="6">
        <f t="shared" si="3"/>
        <v>2.323218504814764</v>
      </c>
      <c r="N21" s="8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</row>
    <row r="22" spans="1:34" s="3" customFormat="1">
      <c r="A22" s="2" t="s">
        <v>32</v>
      </c>
      <c r="B22" s="5" t="s">
        <v>129</v>
      </c>
      <c r="C22" s="2" t="s">
        <v>116</v>
      </c>
      <c r="D22" s="2" t="s">
        <v>12</v>
      </c>
      <c r="E22" s="2">
        <v>6064.6799193573797</v>
      </c>
      <c r="F22" s="2">
        <f t="shared" si="0"/>
        <v>0.27336086532848308</v>
      </c>
      <c r="G22" s="2">
        <f t="shared" si="1"/>
        <v>0.27336086532848308</v>
      </c>
      <c r="H22" s="3">
        <v>0.1048</v>
      </c>
      <c r="I22" s="3">
        <v>0.5</v>
      </c>
      <c r="J22" s="3">
        <v>1.7</v>
      </c>
      <c r="K22" s="3">
        <v>1.02</v>
      </c>
      <c r="L22" s="6">
        <f t="shared" si="2"/>
        <v>1.3042026017580299</v>
      </c>
      <c r="M22" s="6">
        <f t="shared" si="3"/>
        <v>2.1736710029300501</v>
      </c>
      <c r="N22" s="8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</row>
    <row r="23" spans="1:34">
      <c r="A23" s="1" t="s">
        <v>33</v>
      </c>
      <c r="B23" s="4" t="s">
        <v>130</v>
      </c>
      <c r="C23" s="1" t="s">
        <v>116</v>
      </c>
      <c r="D23" s="1" t="s">
        <v>12</v>
      </c>
      <c r="E23" s="1">
        <v>5604.4154166173503</v>
      </c>
      <c r="F23" s="1">
        <f t="shared" si="0"/>
        <v>0.26430891530704564</v>
      </c>
      <c r="G23" s="2">
        <f t="shared" si="1"/>
        <v>0.26430891530704564</v>
      </c>
      <c r="H23">
        <v>0.1007</v>
      </c>
      <c r="I23">
        <v>0.5</v>
      </c>
      <c r="J23">
        <v>1.36</v>
      </c>
      <c r="K23">
        <v>0.98</v>
      </c>
      <c r="L23" s="6">
        <f t="shared" si="2"/>
        <v>1.3123580700449138</v>
      </c>
      <c r="M23" s="7">
        <f t="shared" si="3"/>
        <v>1.8212316074092683</v>
      </c>
      <c r="N23" s="9">
        <f>AVERAGE(M23:M25)</f>
        <v>2.0192591817527066</v>
      </c>
    </row>
    <row r="24" spans="1:34">
      <c r="A24" s="1" t="s">
        <v>34</v>
      </c>
      <c r="B24" s="4" t="s">
        <v>130</v>
      </c>
      <c r="C24" s="1" t="s">
        <v>116</v>
      </c>
      <c r="D24" s="1" t="s">
        <v>12</v>
      </c>
      <c r="E24" s="1">
        <v>6350.8399398232796</v>
      </c>
      <c r="F24" s="1">
        <f t="shared" si="0"/>
        <v>0.27898872971509192</v>
      </c>
      <c r="G24" s="2">
        <f t="shared" si="1"/>
        <v>0.27898872971509192</v>
      </c>
      <c r="H24">
        <v>9.6000000000000002E-2</v>
      </c>
      <c r="I24">
        <v>0.5</v>
      </c>
      <c r="J24">
        <v>1.36</v>
      </c>
      <c r="K24">
        <v>0.98</v>
      </c>
      <c r="L24" s="6">
        <f t="shared" si="2"/>
        <v>1.4530663005994371</v>
      </c>
      <c r="M24" s="7">
        <f t="shared" si="3"/>
        <v>2.0165001722604434</v>
      </c>
    </row>
    <row r="25" spans="1:34">
      <c r="A25" s="1" t="s">
        <v>35</v>
      </c>
      <c r="B25" s="4" t="s">
        <v>130</v>
      </c>
      <c r="C25" s="1" t="s">
        <v>116</v>
      </c>
      <c r="D25" s="1" t="s">
        <v>12</v>
      </c>
      <c r="E25" s="1">
        <v>8628.7049803588907</v>
      </c>
      <c r="F25" s="1">
        <f t="shared" si="0"/>
        <v>0.32378714536469977</v>
      </c>
      <c r="G25" s="2">
        <f t="shared" si="1"/>
        <v>0.32378714536469977</v>
      </c>
      <c r="H25">
        <v>0.1012</v>
      </c>
      <c r="I25">
        <v>0.5</v>
      </c>
      <c r="J25">
        <v>1.36</v>
      </c>
      <c r="K25">
        <v>0.98</v>
      </c>
      <c r="L25" s="6">
        <f t="shared" si="2"/>
        <v>1.5997388604975284</v>
      </c>
      <c r="M25" s="7">
        <f t="shared" si="3"/>
        <v>2.2200457655884072</v>
      </c>
    </row>
    <row r="26" spans="1:34" s="3" customFormat="1">
      <c r="A26" s="2" t="s">
        <v>36</v>
      </c>
      <c r="B26" s="5" t="s">
        <v>131</v>
      </c>
      <c r="C26" s="2" t="s">
        <v>116</v>
      </c>
      <c r="D26" s="2" t="s">
        <v>12</v>
      </c>
      <c r="E26" s="2">
        <v>11262.5276541073</v>
      </c>
      <c r="F26" s="2">
        <f t="shared" si="0"/>
        <v>0.37558612413922743</v>
      </c>
      <c r="G26" s="2">
        <f t="shared" si="1"/>
        <v>0.37558612413922743</v>
      </c>
      <c r="H26" s="3">
        <v>9.5100000000000004E-2</v>
      </c>
      <c r="I26" s="3">
        <v>0.5</v>
      </c>
      <c r="J26" s="3">
        <v>1.25</v>
      </c>
      <c r="K26" s="3">
        <v>0.95</v>
      </c>
      <c r="L26" s="6">
        <f t="shared" si="2"/>
        <v>1.974690452887631</v>
      </c>
      <c r="M26" s="6">
        <f t="shared" si="3"/>
        <v>2.5982769116942515</v>
      </c>
      <c r="N26" s="9">
        <f>AVERAGE(M26:M28)</f>
        <v>2.6543043253127148</v>
      </c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</row>
    <row r="27" spans="1:34" s="3" customFormat="1">
      <c r="A27" s="2" t="s">
        <v>37</v>
      </c>
      <c r="B27" s="5" t="s">
        <v>131</v>
      </c>
      <c r="C27" s="2" t="s">
        <v>116</v>
      </c>
      <c r="D27" s="2" t="s">
        <v>12</v>
      </c>
      <c r="E27" s="2">
        <v>11091.1604398453</v>
      </c>
      <c r="F27" s="2">
        <f t="shared" si="0"/>
        <v>0.37221587192647154</v>
      </c>
      <c r="G27" s="2">
        <f t="shared" si="1"/>
        <v>0.37221587192647154</v>
      </c>
      <c r="H27" s="3">
        <v>9.8699999999999996E-2</v>
      </c>
      <c r="I27" s="3">
        <v>0.5</v>
      </c>
      <c r="J27" s="3">
        <v>1.25</v>
      </c>
      <c r="K27" s="3">
        <v>0.95</v>
      </c>
      <c r="L27" s="6">
        <f t="shared" si="2"/>
        <v>1.8855920563651041</v>
      </c>
      <c r="M27" s="6">
        <f t="shared" si="3"/>
        <v>2.4810421794277686</v>
      </c>
      <c r="N27" s="8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</row>
    <row r="28" spans="1:34" s="3" customFormat="1">
      <c r="A28" s="2" t="s">
        <v>38</v>
      </c>
      <c r="B28" s="5" t="s">
        <v>131</v>
      </c>
      <c r="C28" s="2" t="s">
        <v>116</v>
      </c>
      <c r="D28" s="2" t="s">
        <v>12</v>
      </c>
      <c r="E28" s="2">
        <v>14897.390114423499</v>
      </c>
      <c r="F28" s="2">
        <f t="shared" si="0"/>
        <v>0.44707239590189196</v>
      </c>
      <c r="G28" s="2">
        <f t="shared" si="1"/>
        <v>0.44707239590189196</v>
      </c>
      <c r="H28" s="3">
        <v>0.10199999999999999</v>
      </c>
      <c r="I28" s="3">
        <v>0.5</v>
      </c>
      <c r="J28" s="3">
        <v>1.25</v>
      </c>
      <c r="K28" s="3">
        <v>0.95</v>
      </c>
      <c r="L28" s="6">
        <f t="shared" si="2"/>
        <v>2.1915313524602547</v>
      </c>
      <c r="M28" s="6">
        <f t="shared" si="3"/>
        <v>2.8835938848161247</v>
      </c>
      <c r="N28" s="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</row>
    <row r="29" spans="1:34">
      <c r="A29" s="1" t="s">
        <v>39</v>
      </c>
      <c r="B29" s="4" t="s">
        <v>132</v>
      </c>
      <c r="C29" s="1" t="s">
        <v>116</v>
      </c>
      <c r="D29" s="1" t="s">
        <v>12</v>
      </c>
      <c r="E29" s="1">
        <v>6283.0376513527108</v>
      </c>
      <c r="F29" s="1">
        <f t="shared" si="0"/>
        <v>0.27765527270739099</v>
      </c>
      <c r="G29" s="2">
        <f t="shared" si="1"/>
        <v>0.27765527270739099</v>
      </c>
      <c r="H29">
        <v>0.10390000000000001</v>
      </c>
      <c r="I29">
        <v>0.5</v>
      </c>
      <c r="J29">
        <v>1.49</v>
      </c>
      <c r="K29">
        <v>1.01</v>
      </c>
      <c r="L29" s="6">
        <f t="shared" si="2"/>
        <v>1.3361658936833058</v>
      </c>
      <c r="M29" s="7">
        <f t="shared" si="3"/>
        <v>1.971175427314976</v>
      </c>
      <c r="N29" s="9">
        <f>AVERAGE(M29:M31)</f>
        <v>2.0323793541100788</v>
      </c>
    </row>
    <row r="30" spans="1:34">
      <c r="A30" s="1" t="s">
        <v>40</v>
      </c>
      <c r="B30" s="4" t="s">
        <v>132</v>
      </c>
      <c r="C30" s="1" t="s">
        <v>116</v>
      </c>
      <c r="D30" s="1" t="s">
        <v>12</v>
      </c>
      <c r="E30" s="1">
        <v>4785.0099770432098</v>
      </c>
      <c r="F30" s="1">
        <f t="shared" si="0"/>
        <v>0.24819379662601943</v>
      </c>
      <c r="G30" s="2">
        <f t="shared" si="1"/>
        <v>0.24819379662601945</v>
      </c>
      <c r="H30">
        <v>9.69E-2</v>
      </c>
      <c r="I30">
        <v>0.5</v>
      </c>
      <c r="J30">
        <v>1.49</v>
      </c>
      <c r="K30">
        <v>1.01</v>
      </c>
      <c r="L30" s="6">
        <f t="shared" si="2"/>
        <v>1.2806697452322986</v>
      </c>
      <c r="M30" s="7">
        <f t="shared" si="3"/>
        <v>1.8893048716793315</v>
      </c>
    </row>
    <row r="31" spans="1:34">
      <c r="A31" s="1" t="s">
        <v>41</v>
      </c>
      <c r="B31" s="4" t="s">
        <v>132</v>
      </c>
      <c r="C31" s="1" t="s">
        <v>116</v>
      </c>
      <c r="D31" s="1" t="s">
        <v>12</v>
      </c>
      <c r="E31" s="1">
        <v>7552.3324085818604</v>
      </c>
      <c r="F31" s="1">
        <f t="shared" si="0"/>
        <v>0.30261829426675829</v>
      </c>
      <c r="G31" s="2">
        <f t="shared" si="1"/>
        <v>0.30261829426675829</v>
      </c>
      <c r="H31">
        <v>9.98E-2</v>
      </c>
      <c r="I31">
        <v>0.5</v>
      </c>
      <c r="J31">
        <v>1.49</v>
      </c>
      <c r="K31">
        <v>1.01</v>
      </c>
      <c r="L31" s="6">
        <f t="shared" si="2"/>
        <v>1.5161237187713341</v>
      </c>
      <c r="M31" s="7">
        <f t="shared" si="3"/>
        <v>2.2366577633359284</v>
      </c>
    </row>
    <row r="32" spans="1:34" s="3" customFormat="1">
      <c r="A32" s="2" t="s">
        <v>42</v>
      </c>
      <c r="B32" s="5" t="s">
        <v>133</v>
      </c>
      <c r="C32" s="2" t="s">
        <v>116</v>
      </c>
      <c r="D32" s="2" t="s">
        <v>12</v>
      </c>
      <c r="E32" s="2">
        <v>11059.9051295672</v>
      </c>
      <c r="F32" s="2">
        <f t="shared" si="0"/>
        <v>0.37160117862542918</v>
      </c>
      <c r="G32" s="2">
        <f t="shared" si="1"/>
        <v>0.37160117862542918</v>
      </c>
      <c r="H32" s="3">
        <v>9.9900000000000003E-2</v>
      </c>
      <c r="I32" s="3">
        <v>0.5</v>
      </c>
      <c r="J32" s="3">
        <v>1.43</v>
      </c>
      <c r="K32" s="3">
        <v>0.97</v>
      </c>
      <c r="L32" s="6">
        <f t="shared" si="2"/>
        <v>1.8598657588860319</v>
      </c>
      <c r="M32" s="6">
        <f t="shared" si="3"/>
        <v>2.7418639538216762</v>
      </c>
      <c r="N32" s="9">
        <f>AVERAGE(M32:M34)</f>
        <v>1.8972384491003373</v>
      </c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</row>
    <row r="33" spans="1:34" s="3" customFormat="1">
      <c r="A33" s="2" t="s">
        <v>43</v>
      </c>
      <c r="B33" s="5" t="s">
        <v>133</v>
      </c>
      <c r="C33" s="2" t="s">
        <v>116</v>
      </c>
      <c r="D33" s="2" t="s">
        <v>12</v>
      </c>
      <c r="E33" s="2">
        <v>9826.7603054901701</v>
      </c>
      <c r="F33" s="2">
        <f t="shared" si="0"/>
        <v>0.34734911214998271</v>
      </c>
      <c r="G33" s="2">
        <f t="shared" si="1"/>
        <v>0.34734911214998271</v>
      </c>
      <c r="H33" s="3">
        <v>9.5000000000000001E-2</v>
      </c>
      <c r="I33" s="3">
        <v>0.5</v>
      </c>
      <c r="J33" s="3">
        <v>1.43</v>
      </c>
      <c r="K33" s="3">
        <v>0.97</v>
      </c>
      <c r="L33" s="6">
        <f t="shared" si="2"/>
        <v>1.8281532218420142</v>
      </c>
      <c r="M33" s="6">
        <f t="shared" si="3"/>
        <v>2.6951124816846193</v>
      </c>
      <c r="N33" s="8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</row>
    <row r="34" spans="1:34" s="3" customFormat="1">
      <c r="A34" s="2" t="s">
        <v>44</v>
      </c>
      <c r="B34" s="5" t="s">
        <v>133</v>
      </c>
      <c r="C34" s="2" t="s">
        <v>116</v>
      </c>
      <c r="D34" s="2" t="s">
        <v>12</v>
      </c>
      <c r="E34" s="2">
        <v>9579.1573581873199</v>
      </c>
      <c r="F34" s="2">
        <f t="shared" si="0"/>
        <v>0.34247954369357714</v>
      </c>
      <c r="G34" s="2">
        <f t="shared" si="1"/>
        <v>0.34247954369357714</v>
      </c>
      <c r="H34" s="3">
        <v>0.99099999999999999</v>
      </c>
      <c r="I34" s="3">
        <v>0.5</v>
      </c>
      <c r="J34" s="3">
        <v>1.43</v>
      </c>
      <c r="K34" s="3">
        <v>0.97</v>
      </c>
      <c r="L34" s="6">
        <f t="shared" si="2"/>
        <v>0.17279492618243045</v>
      </c>
      <c r="M34" s="6">
        <f t="shared" si="3"/>
        <v>0.25473891179471708</v>
      </c>
      <c r="N34" s="8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</row>
    <row r="35" spans="1:34">
      <c r="A35" s="1" t="s">
        <v>45</v>
      </c>
      <c r="B35" s="4" t="s">
        <v>134</v>
      </c>
      <c r="C35" s="1" t="s">
        <v>116</v>
      </c>
      <c r="D35" s="1" t="s">
        <v>12</v>
      </c>
      <c r="E35" s="1">
        <v>16229.5903097432</v>
      </c>
      <c r="F35" s="1">
        <f t="shared" si="0"/>
        <v>0.47327256887806951</v>
      </c>
      <c r="G35" s="2">
        <f t="shared" si="1"/>
        <v>0.47327256887806951</v>
      </c>
      <c r="H35">
        <v>0.1037</v>
      </c>
      <c r="I35">
        <v>0.5</v>
      </c>
      <c r="J35">
        <v>1.27</v>
      </c>
      <c r="K35">
        <v>0.94</v>
      </c>
      <c r="L35" s="6">
        <f t="shared" si="2"/>
        <v>2.2819313832115213</v>
      </c>
      <c r="M35" s="7">
        <f t="shared" si="3"/>
        <v>3.083034953913439</v>
      </c>
      <c r="N35" s="9">
        <f>AVERAGE(M35:M37)</f>
        <v>3.0644984914644549</v>
      </c>
    </row>
    <row r="36" spans="1:34">
      <c r="A36" s="1" t="s">
        <v>46</v>
      </c>
      <c r="B36" s="4" t="s">
        <v>134</v>
      </c>
      <c r="C36" s="1" t="s">
        <v>116</v>
      </c>
      <c r="D36" s="1" t="s">
        <v>12</v>
      </c>
      <c r="E36" s="1">
        <v>16384.830183235903</v>
      </c>
      <c r="F36" s="1">
        <f t="shared" si="0"/>
        <v>0.47632564720113085</v>
      </c>
      <c r="G36" s="2">
        <f t="shared" si="1"/>
        <v>0.47632564720113085</v>
      </c>
      <c r="H36">
        <v>0.1024</v>
      </c>
      <c r="I36">
        <v>0.5</v>
      </c>
      <c r="J36">
        <v>1.27</v>
      </c>
      <c r="K36">
        <v>0.94</v>
      </c>
      <c r="L36" s="6">
        <f t="shared" si="2"/>
        <v>2.3258088242242718</v>
      </c>
      <c r="M36" s="7">
        <f t="shared" si="3"/>
        <v>3.1423161774093891</v>
      </c>
    </row>
    <row r="37" spans="1:34">
      <c r="A37" s="1" t="s">
        <v>47</v>
      </c>
      <c r="B37" s="4" t="s">
        <v>134</v>
      </c>
      <c r="C37" s="1" t="s">
        <v>116</v>
      </c>
      <c r="D37" s="1" t="s">
        <v>12</v>
      </c>
      <c r="E37" s="1">
        <v>13970.009955351799</v>
      </c>
      <c r="F37" s="1">
        <f t="shared" si="0"/>
        <v>0.42883375529238299</v>
      </c>
      <c r="G37" s="2">
        <f t="shared" si="1"/>
        <v>0.42883375529238299</v>
      </c>
      <c r="H37">
        <v>9.7600000000000006E-2</v>
      </c>
      <c r="I37">
        <v>0.5</v>
      </c>
      <c r="J37">
        <v>1.27</v>
      </c>
      <c r="K37">
        <v>0.94</v>
      </c>
      <c r="L37" s="6">
        <f t="shared" si="2"/>
        <v>2.1968942381781913</v>
      </c>
      <c r="M37" s="7">
        <f t="shared" si="3"/>
        <v>2.9681443430705357</v>
      </c>
    </row>
    <row r="38" spans="1:34" s="3" customFormat="1">
      <c r="A38" s="2" t="s">
        <v>48</v>
      </c>
      <c r="B38" s="5" t="s">
        <v>135</v>
      </c>
      <c r="C38" s="2" t="s">
        <v>116</v>
      </c>
      <c r="D38" s="2" t="s">
        <v>12</v>
      </c>
      <c r="E38" s="2">
        <v>13852.3598764133</v>
      </c>
      <c r="F38" s="2">
        <f t="shared" si="0"/>
        <v>0.42651994958234113</v>
      </c>
      <c r="G38" s="2">
        <f t="shared" si="1"/>
        <v>0.42651994958234113</v>
      </c>
      <c r="H38" s="3">
        <v>9.9500000000000005E-2</v>
      </c>
      <c r="I38" s="3">
        <v>0.5</v>
      </c>
      <c r="J38" s="3">
        <v>1.35</v>
      </c>
      <c r="K38" s="3">
        <v>0.98</v>
      </c>
      <c r="L38" s="6">
        <f t="shared" si="2"/>
        <v>2.1433163295595032</v>
      </c>
      <c r="M38" s="6">
        <f t="shared" si="3"/>
        <v>2.9525275968421729</v>
      </c>
      <c r="N38" s="9">
        <f>AVERAGE(M38:M40)</f>
        <v>3.1811856624729948</v>
      </c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</row>
    <row r="39" spans="1:34" s="3" customFormat="1">
      <c r="A39" s="2" t="s">
        <v>49</v>
      </c>
      <c r="B39" s="5" t="s">
        <v>135</v>
      </c>
      <c r="C39" s="2" t="s">
        <v>116</v>
      </c>
      <c r="D39" s="2" t="s">
        <v>12</v>
      </c>
      <c r="E39" s="2">
        <v>14048.400186037099</v>
      </c>
      <c r="F39" s="2">
        <f t="shared" si="0"/>
        <v>0.43037544370438963</v>
      </c>
      <c r="G39" s="2">
        <f t="shared" si="1"/>
        <v>0.43037544370438963</v>
      </c>
      <c r="H39" s="3">
        <v>0.1028</v>
      </c>
      <c r="I39" s="3">
        <v>0.5</v>
      </c>
      <c r="J39" s="3">
        <v>1.35</v>
      </c>
      <c r="K39" s="3">
        <v>0.98</v>
      </c>
      <c r="L39" s="6">
        <f t="shared" si="2"/>
        <v>2.0932657767723231</v>
      </c>
      <c r="M39" s="6">
        <f t="shared" si="3"/>
        <v>2.8835804067782003</v>
      </c>
      <c r="N39" s="8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</row>
    <row r="40" spans="1:34" s="3" customFormat="1">
      <c r="A40" s="2" t="s">
        <v>50</v>
      </c>
      <c r="B40" s="5" t="s">
        <v>135</v>
      </c>
      <c r="C40" s="2" t="s">
        <v>116</v>
      </c>
      <c r="D40" s="2" t="s">
        <v>12</v>
      </c>
      <c r="E40" s="2">
        <v>21176.499944918702</v>
      </c>
      <c r="F40" s="2">
        <f t="shared" si="0"/>
        <v>0.57056266731407368</v>
      </c>
      <c r="G40" s="2">
        <f t="shared" si="1"/>
        <v>0.57056266731407368</v>
      </c>
      <c r="H40" s="3">
        <v>0.106</v>
      </c>
      <c r="I40" s="3">
        <v>0.5</v>
      </c>
      <c r="J40" s="3">
        <v>1.35</v>
      </c>
      <c r="K40" s="3">
        <v>0.98</v>
      </c>
      <c r="L40" s="6">
        <f t="shared" si="2"/>
        <v>2.6913333363871401</v>
      </c>
      <c r="M40" s="6">
        <f t="shared" si="3"/>
        <v>3.7074489837986118</v>
      </c>
      <c r="N40" s="8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</row>
    <row r="41" spans="1:34">
      <c r="A41" s="1" t="s">
        <v>51</v>
      </c>
      <c r="B41" s="4" t="s">
        <v>136</v>
      </c>
      <c r="C41" s="1" t="s">
        <v>116</v>
      </c>
      <c r="D41" s="1" t="s">
        <v>12</v>
      </c>
      <c r="E41" s="1">
        <v>18517.180031856202</v>
      </c>
      <c r="F41" s="1">
        <f t="shared" si="0"/>
        <v>0.51826223831998353</v>
      </c>
      <c r="G41" s="2">
        <f t="shared" si="1"/>
        <v>0.51826223831998353</v>
      </c>
      <c r="H41">
        <v>0.1002</v>
      </c>
      <c r="I41">
        <v>0.5</v>
      </c>
      <c r="J41">
        <v>1.46</v>
      </c>
      <c r="K41">
        <v>0.97</v>
      </c>
      <c r="L41" s="6">
        <f t="shared" si="2"/>
        <v>2.5861389137723729</v>
      </c>
      <c r="M41" s="7">
        <f t="shared" si="3"/>
        <v>3.8925389836161486</v>
      </c>
      <c r="N41" s="9">
        <f>AVERAGE(M41:M43)</f>
        <v>3.3374521896766312</v>
      </c>
    </row>
    <row r="42" spans="1:34">
      <c r="A42" s="1" t="s">
        <v>52</v>
      </c>
      <c r="B42" s="4" t="s">
        <v>136</v>
      </c>
      <c r="C42" s="1" t="s">
        <v>116</v>
      </c>
      <c r="D42" s="1" t="s">
        <v>12</v>
      </c>
      <c r="E42" s="1">
        <v>11361.247239575599</v>
      </c>
      <c r="F42" s="1">
        <f t="shared" si="0"/>
        <v>0.37752762679362795</v>
      </c>
      <c r="G42" s="2">
        <f t="shared" si="1"/>
        <v>0.37752762679362795</v>
      </c>
      <c r="H42">
        <v>0.1013</v>
      </c>
      <c r="I42">
        <v>0.5</v>
      </c>
      <c r="J42">
        <v>1.46</v>
      </c>
      <c r="K42">
        <v>0.97</v>
      </c>
      <c r="L42" s="6">
        <f t="shared" si="2"/>
        <v>1.8634137551511745</v>
      </c>
      <c r="M42" s="7">
        <f t="shared" si="3"/>
        <v>2.8047258582687782</v>
      </c>
    </row>
    <row r="43" spans="1:34">
      <c r="A43" s="1" t="s">
        <v>53</v>
      </c>
      <c r="B43" s="4" t="s">
        <v>136</v>
      </c>
      <c r="C43" s="1" t="s">
        <v>116</v>
      </c>
      <c r="D43" s="1" t="s">
        <v>12</v>
      </c>
      <c r="E43" s="1">
        <v>14697.5148696586</v>
      </c>
      <c r="F43" s="1">
        <f t="shared" si="0"/>
        <v>0.44314148070994547</v>
      </c>
      <c r="G43" s="2">
        <f t="shared" si="1"/>
        <v>0.44314148070994547</v>
      </c>
      <c r="H43">
        <v>0.10059999999999999</v>
      </c>
      <c r="I43">
        <v>0.5</v>
      </c>
      <c r="J43">
        <v>1.46</v>
      </c>
      <c r="K43">
        <v>0.97</v>
      </c>
      <c r="L43" s="6">
        <f t="shared" si="2"/>
        <v>2.2024924488565878</v>
      </c>
      <c r="M43" s="7">
        <f t="shared" si="3"/>
        <v>3.3150917271449676</v>
      </c>
    </row>
    <row r="44" spans="1:34" s="3" customFormat="1">
      <c r="A44" s="2" t="s">
        <v>54</v>
      </c>
      <c r="B44" s="5" t="s">
        <v>137</v>
      </c>
      <c r="C44" s="2" t="s">
        <v>116</v>
      </c>
      <c r="D44" s="2" t="s">
        <v>12</v>
      </c>
      <c r="E44" s="2">
        <v>19635.5455412306</v>
      </c>
      <c r="F44" s="2">
        <f t="shared" si="0"/>
        <v>0.54025695795682338</v>
      </c>
      <c r="G44" s="2">
        <f t="shared" si="1"/>
        <v>0.54025695795682338</v>
      </c>
      <c r="H44" s="3">
        <v>9.9000000000000005E-2</v>
      </c>
      <c r="I44" s="3">
        <v>0.5</v>
      </c>
      <c r="J44" s="3">
        <v>1.1499999999999999</v>
      </c>
      <c r="K44" s="3">
        <v>0.92</v>
      </c>
      <c r="L44" s="6">
        <f t="shared" si="2"/>
        <v>2.7285704947314309</v>
      </c>
      <c r="M44" s="6">
        <f t="shared" si="3"/>
        <v>3.4107131184142885</v>
      </c>
      <c r="N44" s="9">
        <f>AVERAGE(M44:M46)</f>
        <v>2.5534157259251771</v>
      </c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</row>
    <row r="45" spans="1:34" s="3" customFormat="1">
      <c r="A45" s="2" t="s">
        <v>55</v>
      </c>
      <c r="B45" s="5" t="s">
        <v>137</v>
      </c>
      <c r="C45" s="2" t="s">
        <v>116</v>
      </c>
      <c r="D45" s="2" t="s">
        <v>12</v>
      </c>
      <c r="E45" s="2">
        <v>10367.5503198977</v>
      </c>
      <c r="F45" s="2">
        <f t="shared" si="0"/>
        <v>0.35798474482069148</v>
      </c>
      <c r="G45" s="2">
        <f t="shared" si="1"/>
        <v>0.35798474482069148</v>
      </c>
      <c r="H45" s="3">
        <v>0.1</v>
      </c>
      <c r="I45" s="3">
        <v>0.5</v>
      </c>
      <c r="J45" s="3">
        <v>1.1499999999999999</v>
      </c>
      <c r="K45" s="3">
        <v>0.92</v>
      </c>
      <c r="L45" s="6">
        <f t="shared" si="2"/>
        <v>1.7899237241034573</v>
      </c>
      <c r="M45" s="6">
        <f t="shared" si="3"/>
        <v>2.2374046551293216</v>
      </c>
      <c r="N45" s="8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</row>
    <row r="46" spans="1:34" s="3" customFormat="1">
      <c r="A46" s="2" t="s">
        <v>56</v>
      </c>
      <c r="B46" s="5" t="s">
        <v>137</v>
      </c>
      <c r="C46" s="2" t="s">
        <v>116</v>
      </c>
      <c r="D46" s="2" t="s">
        <v>12</v>
      </c>
      <c r="E46" s="2">
        <v>8780.364795877631</v>
      </c>
      <c r="F46" s="2">
        <f t="shared" si="0"/>
        <v>0.32676981524726395</v>
      </c>
      <c r="G46" s="2">
        <f t="shared" si="1"/>
        <v>0.32676981524726395</v>
      </c>
      <c r="H46" s="3">
        <v>0.10150000000000001</v>
      </c>
      <c r="I46" s="3">
        <v>0.5</v>
      </c>
      <c r="J46" s="3">
        <v>1.1499999999999999</v>
      </c>
      <c r="K46" s="3">
        <v>0.92</v>
      </c>
      <c r="L46" s="6">
        <f t="shared" si="2"/>
        <v>1.6097035233855366</v>
      </c>
      <c r="M46" s="6">
        <f t="shared" si="3"/>
        <v>2.0121294042319207</v>
      </c>
      <c r="N46" s="8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</row>
    <row r="47" spans="1:34">
      <c r="A47" s="1" t="s">
        <v>57</v>
      </c>
      <c r="B47" s="4" t="s">
        <v>138</v>
      </c>
      <c r="C47" s="1" t="s">
        <v>116</v>
      </c>
      <c r="D47" s="1" t="s">
        <v>12</v>
      </c>
      <c r="E47" s="1">
        <v>11806.3302396416</v>
      </c>
      <c r="F47" s="1">
        <f t="shared" si="0"/>
        <v>0.38628100457532594</v>
      </c>
      <c r="G47" s="2">
        <f t="shared" si="1"/>
        <v>0.38628100457532594</v>
      </c>
      <c r="H47">
        <v>9.8699999999999996E-2</v>
      </c>
      <c r="I47">
        <v>0.5</v>
      </c>
      <c r="J47">
        <v>1.41</v>
      </c>
      <c r="K47">
        <v>0.98</v>
      </c>
      <c r="L47" s="6">
        <f t="shared" si="2"/>
        <v>1.9568439948091487</v>
      </c>
      <c r="M47" s="7">
        <f t="shared" si="3"/>
        <v>2.8154592170213264</v>
      </c>
      <c r="N47" s="9">
        <f>AVERAGE(M47:M49)</f>
        <v>3.169619082183381</v>
      </c>
    </row>
    <row r="48" spans="1:34">
      <c r="A48" s="1" t="s">
        <v>58</v>
      </c>
      <c r="B48" s="4" t="s">
        <v>138</v>
      </c>
      <c r="C48" s="1" t="s">
        <v>116</v>
      </c>
      <c r="D48" s="1" t="s">
        <v>12</v>
      </c>
      <c r="E48" s="1">
        <v>19307.500100874298</v>
      </c>
      <c r="F48" s="1">
        <f t="shared" si="0"/>
        <v>0.53380533956525067</v>
      </c>
      <c r="G48" s="2">
        <f t="shared" si="1"/>
        <v>0.53380533956525067</v>
      </c>
      <c r="H48">
        <v>9.6000000000000002E-2</v>
      </c>
      <c r="I48">
        <v>0.5</v>
      </c>
      <c r="J48">
        <v>1.41</v>
      </c>
      <c r="K48">
        <v>0.98</v>
      </c>
      <c r="L48" s="6">
        <f t="shared" si="2"/>
        <v>2.7802361435690139</v>
      </c>
      <c r="M48" s="7">
        <f t="shared" si="3"/>
        <v>4.000135675951336</v>
      </c>
    </row>
    <row r="49" spans="1:16">
      <c r="A49" s="1" t="s">
        <v>59</v>
      </c>
      <c r="B49" s="4" t="s">
        <v>138</v>
      </c>
      <c r="C49" s="1" t="s">
        <v>116</v>
      </c>
      <c r="D49" s="1" t="s">
        <v>12</v>
      </c>
      <c r="E49" s="1">
        <v>11696.2724419921</v>
      </c>
      <c r="F49" s="1">
        <f t="shared" si="0"/>
        <v>0.3841165150744803</v>
      </c>
      <c r="G49" s="2">
        <f t="shared" si="1"/>
        <v>0.3841165150744803</v>
      </c>
      <c r="H49">
        <v>0.1026</v>
      </c>
      <c r="I49">
        <v>0.5</v>
      </c>
      <c r="J49">
        <v>1.41</v>
      </c>
      <c r="K49">
        <v>0.98</v>
      </c>
      <c r="L49" s="6">
        <f t="shared" si="2"/>
        <v>1.8719128414935688</v>
      </c>
      <c r="M49" s="7">
        <f t="shared" si="3"/>
        <v>2.6932623535774813</v>
      </c>
    </row>
    <row r="50" spans="1:16">
      <c r="A50" s="2" t="s">
        <v>60</v>
      </c>
      <c r="B50" s="5" t="s">
        <v>115</v>
      </c>
      <c r="C50" s="2" t="s">
        <v>139</v>
      </c>
      <c r="D50" s="2" t="s">
        <v>12</v>
      </c>
      <c r="E50" s="2">
        <v>10442.6299996373</v>
      </c>
      <c r="F50" s="2">
        <f t="shared" si="0"/>
        <v>0.35946132514479318</v>
      </c>
      <c r="G50" s="2">
        <f t="shared" si="1"/>
        <v>0.35946132514479318</v>
      </c>
      <c r="H50" s="3">
        <v>0.1017</v>
      </c>
      <c r="I50" s="3">
        <v>0.5</v>
      </c>
      <c r="J50" s="3">
        <v>1.42</v>
      </c>
      <c r="K50" s="3">
        <v>1</v>
      </c>
      <c r="L50" s="6">
        <f t="shared" si="2"/>
        <v>1.7672631521376263</v>
      </c>
      <c r="M50" s="6">
        <f t="shared" si="3"/>
        <v>2.5095136760354291</v>
      </c>
      <c r="N50" s="20">
        <f>AVERAGE(M50:M52)</f>
        <v>2.563315967465444</v>
      </c>
      <c r="P50" t="s">
        <v>140</v>
      </c>
    </row>
    <row r="51" spans="1:16">
      <c r="A51" s="2" t="s">
        <v>61</v>
      </c>
      <c r="B51" s="5" t="s">
        <v>115</v>
      </c>
      <c r="C51" s="2" t="s">
        <v>139</v>
      </c>
      <c r="D51" s="2" t="s">
        <v>12</v>
      </c>
      <c r="E51" s="2">
        <v>13702.6975402602</v>
      </c>
      <c r="F51" s="2">
        <f t="shared" si="0"/>
        <v>0.42357656381419156</v>
      </c>
      <c r="G51" s="2">
        <f t="shared" si="1"/>
        <v>0.42357656381419156</v>
      </c>
      <c r="H51" s="3">
        <v>0.1052</v>
      </c>
      <c r="I51" s="3">
        <v>0.5</v>
      </c>
      <c r="J51" s="3">
        <v>1.42</v>
      </c>
      <c r="K51" s="3">
        <v>1</v>
      </c>
      <c r="L51" s="6">
        <f t="shared" si="2"/>
        <v>2.0131965960750549</v>
      </c>
      <c r="M51" s="6">
        <f t="shared" si="3"/>
        <v>2.8587391664265778</v>
      </c>
    </row>
    <row r="52" spans="1:16">
      <c r="A52" s="2" t="s">
        <v>62</v>
      </c>
      <c r="B52" s="5" t="s">
        <v>115</v>
      </c>
      <c r="C52" s="2" t="s">
        <v>139</v>
      </c>
      <c r="D52" s="2" t="s">
        <v>12</v>
      </c>
      <c r="E52" s="2">
        <v>9191.0800283915796</v>
      </c>
      <c r="F52" s="2">
        <f t="shared" si="0"/>
        <v>0.33484728751728871</v>
      </c>
      <c r="G52" s="2">
        <f t="shared" si="1"/>
        <v>0.33484728751728871</v>
      </c>
      <c r="H52" s="3">
        <v>0.1024</v>
      </c>
      <c r="I52" s="3">
        <v>0.5</v>
      </c>
      <c r="J52" s="3">
        <v>1.42</v>
      </c>
      <c r="K52" s="3">
        <v>1</v>
      </c>
      <c r="L52" s="6">
        <f t="shared" si="2"/>
        <v>1.6349965210805111</v>
      </c>
      <c r="M52" s="6">
        <f t="shared" si="3"/>
        <v>2.3216950599343256</v>
      </c>
    </row>
    <row r="53" spans="1:16">
      <c r="A53" s="1" t="s">
        <v>63</v>
      </c>
      <c r="B53" s="4" t="s">
        <v>120</v>
      </c>
      <c r="C53" s="1" t="s">
        <v>139</v>
      </c>
      <c r="D53" s="1" t="s">
        <v>12</v>
      </c>
      <c r="E53" s="1">
        <v>12329.0725952306</v>
      </c>
      <c r="F53" s="1">
        <f t="shared" si="0"/>
        <v>0.39656169676147263</v>
      </c>
      <c r="G53" s="2">
        <f t="shared" si="1"/>
        <v>0.39656169676147263</v>
      </c>
      <c r="H53">
        <v>0.1004</v>
      </c>
      <c r="I53">
        <v>0.5</v>
      </c>
      <c r="J53">
        <v>1.6</v>
      </c>
      <c r="K53">
        <v>1.02</v>
      </c>
      <c r="L53" s="6">
        <f t="shared" si="2"/>
        <v>1.9749088484137083</v>
      </c>
      <c r="M53" s="7">
        <f t="shared" si="3"/>
        <v>3.0978962328058168</v>
      </c>
      <c r="N53" s="20">
        <f>AVERAGE(M53:M55)</f>
        <v>3.0663015093692016</v>
      </c>
    </row>
    <row r="54" spans="1:16">
      <c r="A54" s="1" t="s">
        <v>64</v>
      </c>
      <c r="B54" s="4" t="s">
        <v>120</v>
      </c>
      <c r="C54" s="1" t="s">
        <v>139</v>
      </c>
      <c r="D54" s="1" t="s">
        <v>12</v>
      </c>
      <c r="E54" s="1">
        <v>11949.767871599401</v>
      </c>
      <c r="F54" s="1">
        <f t="shared" si="0"/>
        <v>0.38910197005918534</v>
      </c>
      <c r="G54" s="2">
        <f t="shared" si="1"/>
        <v>0.38910197005918534</v>
      </c>
      <c r="H54">
        <v>9.6799999999999997E-2</v>
      </c>
      <c r="I54">
        <v>0.5</v>
      </c>
      <c r="J54">
        <v>1.6</v>
      </c>
      <c r="K54">
        <v>1.02</v>
      </c>
      <c r="L54" s="6">
        <f t="shared" si="2"/>
        <v>2.0098242255123209</v>
      </c>
      <c r="M54" s="7">
        <f t="shared" si="3"/>
        <v>3.1526654517840331</v>
      </c>
    </row>
    <row r="55" spans="1:16">
      <c r="A55" s="1" t="s">
        <v>65</v>
      </c>
      <c r="B55" s="4" t="s">
        <v>120</v>
      </c>
      <c r="C55" s="1" t="s">
        <v>139</v>
      </c>
      <c r="D55" s="1" t="s">
        <v>12</v>
      </c>
      <c r="E55" s="1">
        <v>12311.3451072198</v>
      </c>
      <c r="F55" s="1">
        <f t="shared" si="0"/>
        <v>0.39621305302613335</v>
      </c>
      <c r="G55" s="2">
        <f t="shared" si="1"/>
        <v>0.39621305302613335</v>
      </c>
      <c r="H55">
        <v>0.10539999999999999</v>
      </c>
      <c r="I55">
        <v>0.5</v>
      </c>
      <c r="J55">
        <v>1.6</v>
      </c>
      <c r="K55">
        <v>1.02</v>
      </c>
      <c r="L55" s="6">
        <f t="shared" si="2"/>
        <v>1.8795685627425682</v>
      </c>
      <c r="M55" s="7">
        <f t="shared" si="3"/>
        <v>2.9483428435177546</v>
      </c>
    </row>
    <row r="56" spans="1:16">
      <c r="A56" s="2" t="s">
        <v>2</v>
      </c>
      <c r="B56" s="5" t="s">
        <v>124</v>
      </c>
      <c r="C56" s="2" t="s">
        <v>139</v>
      </c>
      <c r="D56" s="2" t="s">
        <v>12</v>
      </c>
      <c r="E56" s="2">
        <v>6184.4000776339008</v>
      </c>
      <c r="F56" s="2">
        <f t="shared" si="0"/>
        <v>0.27571538296524672</v>
      </c>
      <c r="G56" s="2">
        <f t="shared" si="1"/>
        <v>0.27571538296524672</v>
      </c>
      <c r="H56" s="3">
        <v>9.7900000000000001E-2</v>
      </c>
      <c r="I56" s="3">
        <v>0.5</v>
      </c>
      <c r="J56" s="3">
        <v>1.5</v>
      </c>
      <c r="K56" s="3">
        <v>0.98</v>
      </c>
      <c r="L56" s="6">
        <f t="shared" si="2"/>
        <v>1.4081480233158667</v>
      </c>
      <c r="M56" s="6">
        <f t="shared" si="3"/>
        <v>2.1553286071161222</v>
      </c>
      <c r="N56" s="20">
        <f>AVERAGE(M56:M58)</f>
        <v>2.3323869583949333</v>
      </c>
    </row>
    <row r="57" spans="1:16">
      <c r="A57" s="2" t="s">
        <v>2</v>
      </c>
      <c r="B57" s="5" t="s">
        <v>124</v>
      </c>
      <c r="C57" s="2" t="s">
        <v>139</v>
      </c>
      <c r="D57" s="2" t="s">
        <v>12</v>
      </c>
      <c r="E57" s="2">
        <v>6184.4000776339008</v>
      </c>
      <c r="F57" s="2">
        <f t="shared" si="0"/>
        <v>0.27571538296524672</v>
      </c>
      <c r="G57" s="2">
        <f t="shared" si="1"/>
        <v>0.27571538296524672</v>
      </c>
      <c r="H57" s="3">
        <v>0.10009999999999999</v>
      </c>
      <c r="I57" s="3">
        <v>0.5</v>
      </c>
      <c r="J57" s="3">
        <v>1.5</v>
      </c>
      <c r="K57" s="3">
        <v>0.98</v>
      </c>
      <c r="L57" s="6">
        <f t="shared" si="2"/>
        <v>1.3771997151111226</v>
      </c>
      <c r="M57" s="6">
        <f t="shared" si="3"/>
        <v>2.1079587476190653</v>
      </c>
    </row>
    <row r="58" spans="1:16">
      <c r="A58" s="2" t="s">
        <v>66</v>
      </c>
      <c r="B58" s="5" t="s">
        <v>124</v>
      </c>
      <c r="C58" s="2" t="s">
        <v>139</v>
      </c>
      <c r="D58" s="2" t="s">
        <v>12</v>
      </c>
      <c r="E58" s="2">
        <v>10692.255091672499</v>
      </c>
      <c r="F58" s="2">
        <f t="shared" si="0"/>
        <v>0.36437066280552438</v>
      </c>
      <c r="G58" s="2">
        <f t="shared" si="1"/>
        <v>0.36437066280552438</v>
      </c>
      <c r="H58" s="3">
        <v>0.10199999999999999</v>
      </c>
      <c r="I58" s="3">
        <v>0.5</v>
      </c>
      <c r="J58" s="3">
        <v>1.5</v>
      </c>
      <c r="K58" s="3">
        <v>0.98</v>
      </c>
      <c r="L58" s="6">
        <f t="shared" si="2"/>
        <v>1.7861307000270805</v>
      </c>
      <c r="M58" s="6">
        <f t="shared" si="3"/>
        <v>2.7338735204496132</v>
      </c>
    </row>
    <row r="59" spans="1:16">
      <c r="A59" s="1" t="s">
        <v>67</v>
      </c>
      <c r="B59" s="4" t="s">
        <v>126</v>
      </c>
      <c r="C59" s="1" t="s">
        <v>139</v>
      </c>
      <c r="D59" s="1" t="s">
        <v>12</v>
      </c>
      <c r="E59" s="1">
        <v>10806.359988349401</v>
      </c>
      <c r="F59" s="1">
        <f t="shared" si="0"/>
        <v>0.36661474597025195</v>
      </c>
      <c r="G59" s="2">
        <f t="shared" si="1"/>
        <v>0.36661474597025195</v>
      </c>
      <c r="H59">
        <v>1.035E-2</v>
      </c>
      <c r="I59">
        <v>0.5</v>
      </c>
      <c r="J59">
        <v>1.37</v>
      </c>
      <c r="K59">
        <v>0.98</v>
      </c>
      <c r="L59" s="6">
        <f t="shared" si="2"/>
        <v>17.710857293248885</v>
      </c>
      <c r="M59" s="7">
        <f t="shared" si="3"/>
        <v>24.759055603827527</v>
      </c>
      <c r="N59" s="9">
        <f>AVERAGE(M59:M61)</f>
        <v>12.778097696269951</v>
      </c>
    </row>
    <row r="60" spans="1:16">
      <c r="A60" s="1" t="s">
        <v>68</v>
      </c>
      <c r="B60" s="4" t="s">
        <v>126</v>
      </c>
      <c r="C60" s="1" t="s">
        <v>139</v>
      </c>
      <c r="D60" s="1" t="s">
        <v>12</v>
      </c>
      <c r="E60" s="1">
        <v>10924.3124898634</v>
      </c>
      <c r="F60" s="1">
        <f t="shared" si="0"/>
        <v>0.36893449937780792</v>
      </c>
      <c r="G60" s="2">
        <f t="shared" si="1"/>
        <v>0.36893449937780792</v>
      </c>
      <c r="H60">
        <v>0.1012</v>
      </c>
      <c r="I60">
        <v>0.5</v>
      </c>
      <c r="J60">
        <v>1.37</v>
      </c>
      <c r="K60">
        <v>0.98</v>
      </c>
      <c r="L60" s="6">
        <f t="shared" si="2"/>
        <v>1.8227989099694069</v>
      </c>
      <c r="M60" s="7">
        <f t="shared" si="3"/>
        <v>2.5481984761817222</v>
      </c>
    </row>
    <row r="61" spans="1:16">
      <c r="A61" s="1" t="s">
        <v>5</v>
      </c>
      <c r="B61" s="4" t="s">
        <v>126</v>
      </c>
      <c r="C61" s="1" t="s">
        <v>139</v>
      </c>
      <c r="D61" s="1" t="s">
        <v>12</v>
      </c>
      <c r="E61" s="1">
        <v>76231.225572490002</v>
      </c>
      <c r="F61" s="1">
        <f t="shared" si="0"/>
        <v>1.6533153494304482</v>
      </c>
      <c r="G61" s="2">
        <f t="shared" si="1"/>
        <v>1.6533153494304482</v>
      </c>
      <c r="H61">
        <v>0.1048</v>
      </c>
      <c r="I61">
        <v>0.5</v>
      </c>
      <c r="J61">
        <v>1.37</v>
      </c>
      <c r="K61">
        <v>0.98</v>
      </c>
      <c r="L61" s="6">
        <f t="shared" si="2"/>
        <v>7.88795491140481</v>
      </c>
      <c r="M61" s="7">
        <f t="shared" si="3"/>
        <v>11.027039008800603</v>
      </c>
    </row>
    <row r="62" spans="1:16">
      <c r="A62" s="2" t="s">
        <v>4</v>
      </c>
      <c r="B62" s="5" t="s">
        <v>127</v>
      </c>
      <c r="C62" s="2" t="s">
        <v>139</v>
      </c>
      <c r="D62" s="2" t="s">
        <v>12</v>
      </c>
      <c r="E62" s="2">
        <v>90997.420427182791</v>
      </c>
      <c r="F62" s="2">
        <f t="shared" si="0"/>
        <v>1.9437197952127516</v>
      </c>
      <c r="G62" s="2">
        <f t="shared" si="1"/>
        <v>1.9437197952127516</v>
      </c>
      <c r="H62" s="3">
        <v>0.1019</v>
      </c>
      <c r="I62" s="3">
        <v>0.5</v>
      </c>
      <c r="J62" s="3">
        <v>1.51</v>
      </c>
      <c r="K62" s="3">
        <v>1.03</v>
      </c>
      <c r="L62" s="6">
        <f t="shared" si="2"/>
        <v>9.5373885928005464</v>
      </c>
      <c r="M62" s="6">
        <f t="shared" si="3"/>
        <v>13.981996869057111</v>
      </c>
      <c r="N62" s="9">
        <f>AVERAGE(M62:M64)</f>
        <v>11.898922966909021</v>
      </c>
    </row>
    <row r="63" spans="1:16">
      <c r="A63" s="2" t="s">
        <v>6</v>
      </c>
      <c r="B63" s="5" t="s">
        <v>127</v>
      </c>
      <c r="C63" s="2" t="s">
        <v>139</v>
      </c>
      <c r="D63" s="2" t="s">
        <v>12</v>
      </c>
      <c r="E63" s="2">
        <v>71771.470118744706</v>
      </c>
      <c r="F63" s="2">
        <f t="shared" si="0"/>
        <v>1.5656060361229709</v>
      </c>
      <c r="G63" s="2">
        <f t="shared" si="1"/>
        <v>1.5656060361229709</v>
      </c>
      <c r="H63" s="3">
        <v>0.1036</v>
      </c>
      <c r="I63" s="3">
        <v>0.5</v>
      </c>
      <c r="J63" s="3">
        <v>1.51</v>
      </c>
      <c r="K63" s="3">
        <v>1.03</v>
      </c>
      <c r="L63" s="6">
        <f t="shared" si="2"/>
        <v>7.5560136878521762</v>
      </c>
      <c r="M63" s="6">
        <f t="shared" si="3"/>
        <v>11.077262785103676</v>
      </c>
    </row>
    <row r="64" spans="1:16">
      <c r="A64" s="2" t="s">
        <v>7</v>
      </c>
      <c r="B64" s="5" t="s">
        <v>127</v>
      </c>
      <c r="C64" s="2" t="s">
        <v>139</v>
      </c>
      <c r="D64" s="2" t="s">
        <v>12</v>
      </c>
      <c r="E64" s="2">
        <v>68906.35502855081</v>
      </c>
      <c r="F64" s="2">
        <f t="shared" si="0"/>
        <v>1.5092582655525557</v>
      </c>
      <c r="G64" s="2">
        <f t="shared" si="1"/>
        <v>1.5092582655525557</v>
      </c>
      <c r="H64" s="3">
        <v>0.104</v>
      </c>
      <c r="I64" s="3">
        <v>0.5</v>
      </c>
      <c r="J64" s="3">
        <v>1.51</v>
      </c>
      <c r="K64" s="3">
        <v>1.03</v>
      </c>
      <c r="L64" s="6">
        <f t="shared" si="2"/>
        <v>7.2560493536180566</v>
      </c>
      <c r="M64" s="6">
        <f t="shared" si="3"/>
        <v>10.637509246566276</v>
      </c>
    </row>
    <row r="65" spans="1:14">
      <c r="A65" s="1" t="s">
        <v>69</v>
      </c>
      <c r="B65" s="4" t="s">
        <v>128</v>
      </c>
      <c r="C65" s="1" t="s">
        <v>139</v>
      </c>
      <c r="D65" s="1" t="s">
        <v>12</v>
      </c>
      <c r="E65" s="1">
        <v>86929.062501908498</v>
      </c>
      <c r="F65" s="1">
        <f t="shared" si="0"/>
        <v>1.8637080359098568</v>
      </c>
      <c r="G65" s="2">
        <f t="shared" si="1"/>
        <v>1.8637080359098568</v>
      </c>
      <c r="H65">
        <v>0.1028</v>
      </c>
      <c r="I65">
        <v>0.5</v>
      </c>
      <c r="J65">
        <v>1.51</v>
      </c>
      <c r="K65">
        <v>1</v>
      </c>
      <c r="L65" s="6">
        <f t="shared" si="2"/>
        <v>9.0647278011179804</v>
      </c>
      <c r="M65" s="7">
        <f t="shared" si="3"/>
        <v>13.687738979688151</v>
      </c>
      <c r="N65" s="9">
        <f>AVERAGE(M65:M67)</f>
        <v>10.449925314595751</v>
      </c>
    </row>
    <row r="66" spans="1:14">
      <c r="A66" s="1" t="s">
        <v>70</v>
      </c>
      <c r="B66" s="4" t="s">
        <v>128</v>
      </c>
      <c r="C66" s="1" t="s">
        <v>139</v>
      </c>
      <c r="D66" s="1" t="s">
        <v>12</v>
      </c>
      <c r="E66" s="1">
        <v>6489.9996436145002</v>
      </c>
      <c r="F66" s="1">
        <f t="shared" si="0"/>
        <v>0.28172556185447517</v>
      </c>
      <c r="G66" s="2">
        <f t="shared" si="1"/>
        <v>0.28172556185447517</v>
      </c>
      <c r="H66">
        <v>0.10440000000000001</v>
      </c>
      <c r="I66">
        <v>0.5</v>
      </c>
      <c r="J66">
        <v>1.51</v>
      </c>
      <c r="K66">
        <v>1</v>
      </c>
      <c r="L66" s="6">
        <f t="shared" si="2"/>
        <v>1.3492603537091721</v>
      </c>
      <c r="M66" s="7">
        <f t="shared" si="3"/>
        <v>2.0373831341008497</v>
      </c>
    </row>
    <row r="67" spans="1:14">
      <c r="A67" s="1" t="s">
        <v>8</v>
      </c>
      <c r="B67" s="4" t="s">
        <v>128</v>
      </c>
      <c r="C67" s="1" t="s">
        <v>139</v>
      </c>
      <c r="D67" s="1" t="s">
        <v>12</v>
      </c>
      <c r="E67" s="1">
        <v>96971.577642482807</v>
      </c>
      <c r="F67" s="1">
        <f t="shared" ref="F67:F97" si="4">(E67+7834.9)/50847</f>
        <v>2.0612126112156628</v>
      </c>
      <c r="G67" s="2">
        <f t="shared" ref="G67:G97" si="5">(F67/1000)*1000</f>
        <v>2.0612126112156628</v>
      </c>
      <c r="H67">
        <v>9.9599999999999994E-2</v>
      </c>
      <c r="I67">
        <v>0.5</v>
      </c>
      <c r="J67">
        <v>1.51</v>
      </c>
      <c r="K67">
        <v>1</v>
      </c>
      <c r="L67" s="6">
        <f t="shared" ref="L67:L97" si="6">G67*I67/H67</f>
        <v>10.347452867548508</v>
      </c>
      <c r="M67" s="7">
        <f t="shared" ref="M67:M97" si="7">L67*J67/K67</f>
        <v>15.624653829998248</v>
      </c>
    </row>
    <row r="68" spans="1:14">
      <c r="A68" s="2" t="s">
        <v>9</v>
      </c>
      <c r="B68" s="5" t="s">
        <v>129</v>
      </c>
      <c r="C68" s="2" t="s">
        <v>139</v>
      </c>
      <c r="D68" s="2" t="s">
        <v>12</v>
      </c>
      <c r="E68" s="2">
        <v>87628.169896475607</v>
      </c>
      <c r="F68" s="2">
        <f t="shared" si="4"/>
        <v>1.8774572717461326</v>
      </c>
      <c r="G68" s="2">
        <f t="shared" si="5"/>
        <v>1.8774572717461326</v>
      </c>
      <c r="H68" s="3">
        <v>0.104</v>
      </c>
      <c r="I68" s="3">
        <v>0.5</v>
      </c>
      <c r="J68" s="3">
        <v>1.39</v>
      </c>
      <c r="K68" s="3">
        <v>0.99</v>
      </c>
      <c r="L68" s="6">
        <f t="shared" si="6"/>
        <v>9.0262368833948692</v>
      </c>
      <c r="M68" s="6">
        <f t="shared" si="7"/>
        <v>12.673201280726129</v>
      </c>
      <c r="N68" s="9">
        <f>AVERAGE(M68:M70)</f>
        <v>12.044198677361001</v>
      </c>
    </row>
    <row r="69" spans="1:14">
      <c r="A69" s="2" t="s">
        <v>10</v>
      </c>
      <c r="B69" s="5" t="s">
        <v>129</v>
      </c>
      <c r="C69" s="2" t="s">
        <v>139</v>
      </c>
      <c r="D69" s="2" t="s">
        <v>12</v>
      </c>
      <c r="E69" s="2">
        <v>70899.755410907994</v>
      </c>
      <c r="F69" s="2">
        <f t="shared" si="4"/>
        <v>1.5484621592406236</v>
      </c>
      <c r="G69" s="2">
        <f t="shared" si="5"/>
        <v>1.5484621592406236</v>
      </c>
      <c r="H69" s="3">
        <v>0.1014</v>
      </c>
      <c r="I69" s="3">
        <v>0.5</v>
      </c>
      <c r="J69" s="3">
        <v>1.39</v>
      </c>
      <c r="K69" s="3">
        <v>0.99</v>
      </c>
      <c r="L69" s="6">
        <f t="shared" si="6"/>
        <v>7.6354149863936067</v>
      </c>
      <c r="M69" s="6">
        <f t="shared" si="7"/>
        <v>10.720431142512236</v>
      </c>
    </row>
    <row r="70" spans="1:14">
      <c r="A70" s="2" t="s">
        <v>71</v>
      </c>
      <c r="B70" s="5" t="s">
        <v>129</v>
      </c>
      <c r="C70" s="2" t="s">
        <v>139</v>
      </c>
      <c r="D70" s="2" t="s">
        <v>12</v>
      </c>
      <c r="E70" s="2">
        <v>83879.220515392502</v>
      </c>
      <c r="F70" s="2">
        <f t="shared" si="4"/>
        <v>1.8037272703481522</v>
      </c>
      <c r="G70" s="2">
        <f t="shared" si="5"/>
        <v>1.8037272703481522</v>
      </c>
      <c r="H70" s="3">
        <v>9.9400000000000002E-2</v>
      </c>
      <c r="I70" s="3">
        <v>0.5</v>
      </c>
      <c r="J70" s="3">
        <v>1.39</v>
      </c>
      <c r="K70" s="3">
        <v>0.99</v>
      </c>
      <c r="L70" s="6">
        <f t="shared" si="6"/>
        <v>9.073074800544024</v>
      </c>
      <c r="M70" s="6">
        <f t="shared" si="7"/>
        <v>12.738963608844639</v>
      </c>
    </row>
    <row r="71" spans="1:14">
      <c r="A71" s="1" t="s">
        <v>72</v>
      </c>
      <c r="B71" s="4" t="s">
        <v>130</v>
      </c>
      <c r="C71" s="1" t="s">
        <v>139</v>
      </c>
      <c r="D71" s="1" t="s">
        <v>12</v>
      </c>
      <c r="E71" s="1">
        <v>61240.859830904395</v>
      </c>
      <c r="F71" s="1">
        <f t="shared" si="4"/>
        <v>1.3585021698606485</v>
      </c>
      <c r="G71" s="2">
        <f t="shared" si="5"/>
        <v>1.3585021698606485</v>
      </c>
      <c r="H71">
        <v>0.1038</v>
      </c>
      <c r="I71">
        <v>0.5</v>
      </c>
      <c r="J71">
        <v>1.66</v>
      </c>
      <c r="K71">
        <v>1.02</v>
      </c>
      <c r="L71" s="6">
        <f t="shared" si="6"/>
        <v>6.5438447488470546</v>
      </c>
      <c r="M71" s="7">
        <f t="shared" si="7"/>
        <v>10.649786552045207</v>
      </c>
      <c r="N71" s="9">
        <f>AVERAGE(M71:M73)</f>
        <v>14.419518941835753</v>
      </c>
    </row>
    <row r="72" spans="1:14">
      <c r="A72" s="1" t="s">
        <v>73</v>
      </c>
      <c r="B72" s="4" t="s">
        <v>130</v>
      </c>
      <c r="C72" s="1" t="s">
        <v>139</v>
      </c>
      <c r="D72" s="1" t="s">
        <v>12</v>
      </c>
      <c r="E72" s="1">
        <v>93211.8791195136</v>
      </c>
      <c r="F72" s="1">
        <f t="shared" si="4"/>
        <v>1.9872712081246404</v>
      </c>
      <c r="G72" s="2">
        <f t="shared" si="5"/>
        <v>1.9872712081246404</v>
      </c>
      <c r="H72">
        <v>9.6799999999999997E-2</v>
      </c>
      <c r="I72">
        <v>0.5</v>
      </c>
      <c r="J72">
        <v>1.66</v>
      </c>
      <c r="K72">
        <v>1.02</v>
      </c>
      <c r="L72" s="6">
        <f t="shared" si="6"/>
        <v>10.264830620478515</v>
      </c>
      <c r="M72" s="7">
        <f t="shared" si="7"/>
        <v>16.705508656857187</v>
      </c>
    </row>
    <row r="73" spans="1:14">
      <c r="A73" s="1" t="s">
        <v>74</v>
      </c>
      <c r="B73" s="4" t="s">
        <v>130</v>
      </c>
      <c r="C73" s="1" t="s">
        <v>139</v>
      </c>
      <c r="D73" s="1" t="s">
        <v>12</v>
      </c>
      <c r="E73" s="1">
        <v>94321.770947464902</v>
      </c>
      <c r="F73" s="1">
        <f t="shared" si="4"/>
        <v>2.0090992771936378</v>
      </c>
      <c r="G73" s="2">
        <f t="shared" si="5"/>
        <v>2.0090992771936378</v>
      </c>
      <c r="H73">
        <v>0.1028</v>
      </c>
      <c r="I73">
        <v>0.5</v>
      </c>
      <c r="J73">
        <v>1.66</v>
      </c>
      <c r="K73">
        <v>1.02</v>
      </c>
      <c r="L73" s="6">
        <f t="shared" si="6"/>
        <v>9.771883643937926</v>
      </c>
      <c r="M73" s="7">
        <f t="shared" si="7"/>
        <v>15.90326161660486</v>
      </c>
    </row>
    <row r="74" spans="1:14">
      <c r="A74" s="2" t="s">
        <v>75</v>
      </c>
      <c r="B74" s="5" t="s">
        <v>131</v>
      </c>
      <c r="C74" s="2" t="s">
        <v>139</v>
      </c>
      <c r="D74" s="2" t="s">
        <v>12</v>
      </c>
      <c r="E74" s="2">
        <v>168094.46614561699</v>
      </c>
      <c r="F74" s="2">
        <f t="shared" si="4"/>
        <v>3.4599753406418663</v>
      </c>
      <c r="G74" s="2">
        <f t="shared" si="5"/>
        <v>3.4599753406418663</v>
      </c>
      <c r="H74" s="3">
        <v>0.10340000000000001</v>
      </c>
      <c r="I74" s="3">
        <v>0.5</v>
      </c>
      <c r="J74" s="3">
        <v>1.5</v>
      </c>
      <c r="K74" s="3">
        <v>1</v>
      </c>
      <c r="L74" s="6">
        <f t="shared" si="6"/>
        <v>16.731021956682138</v>
      </c>
      <c r="M74" s="6">
        <f t="shared" si="7"/>
        <v>25.096532935023205</v>
      </c>
      <c r="N74" s="9">
        <f>AVERAGE(M74:M76)</f>
        <v>19.891841575813071</v>
      </c>
    </row>
    <row r="75" spans="1:14">
      <c r="A75" s="2" t="s">
        <v>76</v>
      </c>
      <c r="B75" s="5" t="s">
        <v>131</v>
      </c>
      <c r="C75" s="2" t="s">
        <v>139</v>
      </c>
      <c r="D75" s="2" t="s">
        <v>12</v>
      </c>
      <c r="E75" s="2">
        <v>98733.384841315303</v>
      </c>
      <c r="F75" s="2">
        <f t="shared" si="4"/>
        <v>2.0958617979687157</v>
      </c>
      <c r="G75" s="2">
        <f t="shared" si="5"/>
        <v>2.0958617979687157</v>
      </c>
      <c r="H75" s="3">
        <v>9.9400000000000002E-2</v>
      </c>
      <c r="I75" s="3">
        <v>0.5</v>
      </c>
      <c r="J75" s="3">
        <v>1.5</v>
      </c>
      <c r="K75" s="3">
        <v>1</v>
      </c>
      <c r="L75" s="6">
        <f t="shared" si="6"/>
        <v>10.542564376100179</v>
      </c>
      <c r="M75" s="6">
        <f t="shared" si="7"/>
        <v>15.813846564150268</v>
      </c>
    </row>
    <row r="76" spans="1:14">
      <c r="A76" s="2" t="s">
        <v>77</v>
      </c>
      <c r="B76" s="5" t="s">
        <v>131</v>
      </c>
      <c r="C76" s="2" t="s">
        <v>139</v>
      </c>
      <c r="D76" s="2" t="s">
        <v>12</v>
      </c>
      <c r="E76" s="2">
        <v>120911.920732625</v>
      </c>
      <c r="F76" s="2">
        <f t="shared" si="4"/>
        <v>2.53204359613399</v>
      </c>
      <c r="G76" s="2">
        <f t="shared" si="5"/>
        <v>2.53204359613399</v>
      </c>
      <c r="H76" s="3">
        <v>0.1012</v>
      </c>
      <c r="I76" s="3">
        <v>0.5</v>
      </c>
      <c r="J76" s="3">
        <v>1.5</v>
      </c>
      <c r="K76" s="3">
        <v>1</v>
      </c>
      <c r="L76" s="6">
        <f t="shared" si="6"/>
        <v>12.510096818843824</v>
      </c>
      <c r="M76" s="6">
        <f t="shared" si="7"/>
        <v>18.765145228265737</v>
      </c>
    </row>
    <row r="77" spans="1:14">
      <c r="A77" s="1" t="s">
        <v>78</v>
      </c>
      <c r="B77" s="4" t="s">
        <v>132</v>
      </c>
      <c r="C77" s="1" t="s">
        <v>139</v>
      </c>
      <c r="D77" s="1" t="s">
        <v>12</v>
      </c>
      <c r="E77" s="1">
        <v>124255.532828007</v>
      </c>
      <c r="F77" s="1">
        <f t="shared" si="4"/>
        <v>2.5978018925011703</v>
      </c>
      <c r="G77" s="2">
        <f t="shared" si="5"/>
        <v>2.5978018925011703</v>
      </c>
      <c r="H77">
        <v>0.1024</v>
      </c>
      <c r="I77">
        <v>0.5</v>
      </c>
      <c r="J77">
        <v>1.49</v>
      </c>
      <c r="K77">
        <v>1.02</v>
      </c>
      <c r="L77" s="6">
        <f t="shared" si="6"/>
        <v>12.684579553228371</v>
      </c>
      <c r="M77" s="7">
        <f t="shared" si="7"/>
        <v>18.529434837559091</v>
      </c>
      <c r="N77" s="9">
        <f>AVERAGE(M77:M79)</f>
        <v>14.840195788168607</v>
      </c>
    </row>
    <row r="78" spans="1:14">
      <c r="A78" s="1" t="s">
        <v>141</v>
      </c>
      <c r="B78" s="4" t="s">
        <v>132</v>
      </c>
      <c r="C78" s="1"/>
      <c r="D78" s="1" t="s">
        <v>142</v>
      </c>
      <c r="E78" s="1" t="s">
        <v>142</v>
      </c>
      <c r="F78" s="1" t="s">
        <v>142</v>
      </c>
      <c r="G78" s="2" t="e">
        <f t="shared" si="5"/>
        <v>#VALUE!</v>
      </c>
      <c r="H78">
        <v>9.4299999999999995E-2</v>
      </c>
      <c r="I78">
        <v>0.5</v>
      </c>
      <c r="J78">
        <v>1.49</v>
      </c>
      <c r="K78">
        <v>1.02</v>
      </c>
      <c r="L78" s="6" t="e">
        <f t="shared" si="6"/>
        <v>#VALUE!</v>
      </c>
      <c r="M78" s="7" t="s">
        <v>142</v>
      </c>
    </row>
    <row r="79" spans="1:14">
      <c r="A79" s="1" t="s">
        <v>79</v>
      </c>
      <c r="B79" s="4" t="s">
        <v>132</v>
      </c>
      <c r="C79" s="1" t="s">
        <v>139</v>
      </c>
      <c r="D79" s="1" t="s">
        <v>12</v>
      </c>
      <c r="E79" s="1">
        <v>69017.345064450798</v>
      </c>
      <c r="F79" s="1">
        <f t="shared" si="4"/>
        <v>1.5114410892373353</v>
      </c>
      <c r="G79" s="2">
        <f t="shared" si="5"/>
        <v>1.5114410892373353</v>
      </c>
      <c r="H79">
        <v>9.9000000000000005E-2</v>
      </c>
      <c r="I79">
        <v>0.5</v>
      </c>
      <c r="J79">
        <v>1.49</v>
      </c>
      <c r="K79">
        <v>1.02</v>
      </c>
      <c r="L79" s="6">
        <f t="shared" si="6"/>
        <v>7.6335408547340169</v>
      </c>
      <c r="M79" s="7">
        <f t="shared" si="7"/>
        <v>11.150956738778122</v>
      </c>
    </row>
    <row r="80" spans="1:14">
      <c r="A80" s="2" t="s">
        <v>80</v>
      </c>
      <c r="B80" s="5" t="s">
        <v>133</v>
      </c>
      <c r="C80" s="2" t="s">
        <v>139</v>
      </c>
      <c r="D80" s="2" t="s">
        <v>12</v>
      </c>
      <c r="E80" s="2">
        <v>93067.100699139904</v>
      </c>
      <c r="F80" s="2">
        <f t="shared" si="4"/>
        <v>1.9844238735646134</v>
      </c>
      <c r="G80" s="2">
        <f t="shared" si="5"/>
        <v>1.9844238735646134</v>
      </c>
      <c r="H80" s="3">
        <v>0.10100000000000001</v>
      </c>
      <c r="I80" s="3">
        <v>0.5</v>
      </c>
      <c r="J80" s="3">
        <v>1.55</v>
      </c>
      <c r="K80" s="3">
        <v>1.01</v>
      </c>
      <c r="L80" s="6">
        <f t="shared" si="6"/>
        <v>9.8238805622010563</v>
      </c>
      <c r="M80" s="6">
        <f t="shared" si="7"/>
        <v>15.076252347932314</v>
      </c>
      <c r="N80" s="9">
        <f>AVERAGE(M80:M82)</f>
        <v>10.915439527027013</v>
      </c>
    </row>
    <row r="81" spans="1:14">
      <c r="A81" s="2" t="s">
        <v>81</v>
      </c>
      <c r="B81" s="5" t="s">
        <v>133</v>
      </c>
      <c r="C81" s="2" t="s">
        <v>139</v>
      </c>
      <c r="D81" s="2" t="s">
        <v>12</v>
      </c>
      <c r="E81" s="2">
        <v>87134.965551967209</v>
      </c>
      <c r="F81" s="2">
        <f t="shared" si="4"/>
        <v>1.8677574990061794</v>
      </c>
      <c r="G81" s="2">
        <f t="shared" si="5"/>
        <v>1.8677574990061794</v>
      </c>
      <c r="H81" s="3">
        <v>9.8699999999999996E-2</v>
      </c>
      <c r="I81" s="3">
        <v>0.5</v>
      </c>
      <c r="J81" s="3">
        <v>1.55</v>
      </c>
      <c r="K81" s="3">
        <v>1.01</v>
      </c>
      <c r="L81" s="6">
        <f t="shared" si="6"/>
        <v>9.4617907751072927</v>
      </c>
      <c r="M81" s="6">
        <f t="shared" si="7"/>
        <v>14.520570001402282</v>
      </c>
    </row>
    <row r="82" spans="1:14">
      <c r="A82" s="2" t="s">
        <v>82</v>
      </c>
      <c r="B82" s="5" t="s">
        <v>133</v>
      </c>
      <c r="C82" s="2" t="s">
        <v>139</v>
      </c>
      <c r="D82" s="2" t="s">
        <v>12</v>
      </c>
      <c r="E82" s="2">
        <v>13577.899946442099</v>
      </c>
      <c r="F82" s="2">
        <f t="shared" si="4"/>
        <v>0.42112218904639609</v>
      </c>
      <c r="G82" s="2">
        <f t="shared" si="5"/>
        <v>0.42112218904639609</v>
      </c>
      <c r="H82" s="3">
        <v>0.1026</v>
      </c>
      <c r="I82" s="3">
        <v>0.5</v>
      </c>
      <c r="J82" s="3">
        <v>1.55</v>
      </c>
      <c r="K82" s="3">
        <v>1.01</v>
      </c>
      <c r="L82" s="6">
        <f t="shared" si="6"/>
        <v>2.0522523832670374</v>
      </c>
      <c r="M82" s="6">
        <f t="shared" si="7"/>
        <v>3.1494962317464439</v>
      </c>
    </row>
    <row r="83" spans="1:14">
      <c r="A83" s="1" t="s">
        <v>83</v>
      </c>
      <c r="B83" s="4" t="s">
        <v>134</v>
      </c>
      <c r="C83" s="1" t="s">
        <v>139</v>
      </c>
      <c r="D83" s="1" t="s">
        <v>12</v>
      </c>
      <c r="E83" s="1">
        <v>69710.076668982409</v>
      </c>
      <c r="F83" s="1">
        <f t="shared" si="4"/>
        <v>1.5250649334077213</v>
      </c>
      <c r="G83" s="2">
        <f t="shared" si="5"/>
        <v>1.5250649334077213</v>
      </c>
      <c r="H83">
        <v>9.98E-2</v>
      </c>
      <c r="I83">
        <v>0.5</v>
      </c>
      <c r="J83">
        <v>1.41</v>
      </c>
      <c r="K83">
        <v>0.98</v>
      </c>
      <c r="L83" s="6">
        <f t="shared" si="6"/>
        <v>7.6406058787961992</v>
      </c>
      <c r="M83" s="7">
        <f t="shared" si="7"/>
        <v>10.993116621533307</v>
      </c>
      <c r="N83" s="9">
        <f>AVERAGE(M83:M85)</f>
        <v>11.630672042769064</v>
      </c>
    </row>
    <row r="84" spans="1:14">
      <c r="A84" s="1" t="s">
        <v>84</v>
      </c>
      <c r="B84" s="4" t="s">
        <v>134</v>
      </c>
      <c r="C84" s="1" t="s">
        <v>139</v>
      </c>
      <c r="D84" s="1" t="s">
        <v>12</v>
      </c>
      <c r="E84" s="1">
        <v>75783.777493121102</v>
      </c>
      <c r="F84" s="1">
        <f t="shared" si="4"/>
        <v>1.644515458003837</v>
      </c>
      <c r="G84" s="2">
        <f t="shared" si="5"/>
        <v>1.644515458003837</v>
      </c>
      <c r="H84">
        <v>9.7100000000000006E-2</v>
      </c>
      <c r="I84">
        <v>0.5</v>
      </c>
      <c r="J84">
        <v>1.41</v>
      </c>
      <c r="K84">
        <v>0.98</v>
      </c>
      <c r="L84" s="6">
        <f t="shared" si="6"/>
        <v>8.4681537487324245</v>
      </c>
      <c r="M84" s="7">
        <f t="shared" si="7"/>
        <v>12.1837722303191</v>
      </c>
    </row>
    <row r="85" spans="1:14">
      <c r="A85" s="1" t="s">
        <v>85</v>
      </c>
      <c r="B85" s="4" t="s">
        <v>134</v>
      </c>
      <c r="C85" s="1" t="s">
        <v>139</v>
      </c>
      <c r="D85" s="1" t="s">
        <v>12</v>
      </c>
      <c r="E85" s="1">
        <v>77121.610349759794</v>
      </c>
      <c r="F85" s="1">
        <f t="shared" si="4"/>
        <v>1.6708264076496113</v>
      </c>
      <c r="G85" s="2">
        <f t="shared" si="5"/>
        <v>1.6708264076496113</v>
      </c>
      <c r="H85">
        <v>0.1026</v>
      </c>
      <c r="I85">
        <v>0.5</v>
      </c>
      <c r="J85">
        <v>1.41</v>
      </c>
      <c r="K85">
        <v>0.98</v>
      </c>
      <c r="L85" s="6">
        <f t="shared" si="6"/>
        <v>8.1424288871813424</v>
      </c>
      <c r="M85" s="7">
        <f t="shared" si="7"/>
        <v>11.715127276454787</v>
      </c>
    </row>
    <row r="86" spans="1:14">
      <c r="A86" s="2" t="s">
        <v>86</v>
      </c>
      <c r="B86" s="5" t="s">
        <v>135</v>
      </c>
      <c r="C86" s="2" t="s">
        <v>139</v>
      </c>
      <c r="D86" s="2" t="s">
        <v>12</v>
      </c>
      <c r="E86" s="2">
        <v>97436.010126606794</v>
      </c>
      <c r="F86" s="2">
        <f t="shared" si="4"/>
        <v>2.0703465322753907</v>
      </c>
      <c r="G86" s="2">
        <f t="shared" si="5"/>
        <v>2.0703465322753907</v>
      </c>
      <c r="H86" s="3">
        <v>9.6600000000000005E-2</v>
      </c>
      <c r="I86" s="3">
        <v>0.5</v>
      </c>
      <c r="J86" s="3">
        <v>1.61</v>
      </c>
      <c r="K86" s="3">
        <v>1.02</v>
      </c>
      <c r="L86" s="6">
        <f t="shared" si="6"/>
        <v>10.716079359603471</v>
      </c>
      <c r="M86" s="6">
        <f t="shared" si="7"/>
        <v>16.914595851923128</v>
      </c>
      <c r="N86" s="9">
        <f>AVERAGE(M86:M88)</f>
        <v>15.321394732717961</v>
      </c>
    </row>
    <row r="87" spans="1:14">
      <c r="A87" s="2" t="s">
        <v>87</v>
      </c>
      <c r="B87" s="5" t="s">
        <v>135</v>
      </c>
      <c r="C87" s="2" t="s">
        <v>139</v>
      </c>
      <c r="D87" s="2" t="s">
        <v>12</v>
      </c>
      <c r="E87" s="2">
        <v>93186.05504402901</v>
      </c>
      <c r="F87" s="2">
        <f t="shared" si="4"/>
        <v>1.9867633300692078</v>
      </c>
      <c r="G87" s="2">
        <f t="shared" si="5"/>
        <v>1.986763330069208</v>
      </c>
      <c r="H87" s="3">
        <v>0.1045</v>
      </c>
      <c r="I87" s="3">
        <v>0.5</v>
      </c>
      <c r="J87" s="3">
        <v>1.61</v>
      </c>
      <c r="K87" s="3">
        <v>1.02</v>
      </c>
      <c r="L87" s="6">
        <f t="shared" si="6"/>
        <v>9.5060446414794644</v>
      </c>
      <c r="M87" s="6">
        <f t="shared" si="7"/>
        <v>15.004639090962684</v>
      </c>
    </row>
    <row r="88" spans="1:14">
      <c r="A88" s="2" t="s">
        <v>88</v>
      </c>
      <c r="B88" s="5" t="s">
        <v>135</v>
      </c>
      <c r="C88" s="2" t="s">
        <v>139</v>
      </c>
      <c r="D88" s="2" t="s">
        <v>12</v>
      </c>
      <c r="E88" s="2">
        <v>83738.705260125091</v>
      </c>
      <c r="F88" s="2">
        <f t="shared" si="4"/>
        <v>1.8009637787898025</v>
      </c>
      <c r="G88" s="2">
        <f t="shared" si="5"/>
        <v>1.8009637787898025</v>
      </c>
      <c r="H88" s="3">
        <v>0.1012</v>
      </c>
      <c r="I88" s="3">
        <v>0.5</v>
      </c>
      <c r="J88" s="3">
        <v>1.61</v>
      </c>
      <c r="K88" s="3">
        <v>1.02</v>
      </c>
      <c r="L88" s="6">
        <f t="shared" si="6"/>
        <v>8.8980423853251107</v>
      </c>
      <c r="M88" s="6">
        <f t="shared" si="7"/>
        <v>14.044949255268067</v>
      </c>
    </row>
    <row r="89" spans="1:14">
      <c r="A89" s="1" t="s">
        <v>89</v>
      </c>
      <c r="B89" s="4" t="s">
        <v>136</v>
      </c>
      <c r="C89" s="1" t="s">
        <v>139</v>
      </c>
      <c r="D89" s="1" t="s">
        <v>12</v>
      </c>
      <c r="E89" s="1">
        <v>87035.430260715613</v>
      </c>
      <c r="F89" s="1">
        <f t="shared" si="4"/>
        <v>1.8657999539936596</v>
      </c>
      <c r="G89" s="2">
        <f t="shared" si="5"/>
        <v>1.8657999539936596</v>
      </c>
      <c r="H89">
        <v>9.98E-2</v>
      </c>
      <c r="I89">
        <v>0.5</v>
      </c>
      <c r="J89">
        <v>1.18</v>
      </c>
      <c r="K89">
        <v>0.97</v>
      </c>
      <c r="L89" s="6">
        <f t="shared" si="6"/>
        <v>9.3476951602888754</v>
      </c>
      <c r="M89" s="7">
        <f t="shared" si="7"/>
        <v>11.371422978495746</v>
      </c>
      <c r="N89" s="9">
        <f>AVERAGE(M89:M91)</f>
        <v>12.335678741284703</v>
      </c>
    </row>
    <row r="90" spans="1:14">
      <c r="A90" s="1" t="s">
        <v>90</v>
      </c>
      <c r="B90" s="4" t="s">
        <v>136</v>
      </c>
      <c r="C90" s="1" t="s">
        <v>139</v>
      </c>
      <c r="D90" s="1" t="s">
        <v>12</v>
      </c>
      <c r="E90" s="1">
        <v>81162.467879391203</v>
      </c>
      <c r="F90" s="1">
        <f t="shared" si="4"/>
        <v>1.7502973209705823</v>
      </c>
      <c r="G90" s="2">
        <f t="shared" si="5"/>
        <v>1.7502973209705823</v>
      </c>
      <c r="H90">
        <v>9.7199999999999995E-2</v>
      </c>
      <c r="I90">
        <v>0.5</v>
      </c>
      <c r="J90">
        <v>1.18</v>
      </c>
      <c r="K90">
        <v>0.97</v>
      </c>
      <c r="L90" s="6">
        <f t="shared" si="6"/>
        <v>9.0035870420297446</v>
      </c>
      <c r="M90" s="7">
        <f t="shared" si="7"/>
        <v>10.952817226386699</v>
      </c>
    </row>
    <row r="91" spans="1:14">
      <c r="A91" s="1" t="s">
        <v>91</v>
      </c>
      <c r="B91" s="4" t="s">
        <v>136</v>
      </c>
      <c r="C91" s="1" t="s">
        <v>139</v>
      </c>
      <c r="D91" s="1" t="s">
        <v>12</v>
      </c>
      <c r="E91" s="1">
        <v>110856.78532312</v>
      </c>
      <c r="F91" s="1">
        <f t="shared" si="4"/>
        <v>2.3342908199720731</v>
      </c>
      <c r="G91" s="2">
        <f t="shared" si="5"/>
        <v>2.3342908199720731</v>
      </c>
      <c r="H91">
        <v>9.6699999999999994E-2</v>
      </c>
      <c r="I91">
        <v>0.5</v>
      </c>
      <c r="J91">
        <v>1.18</v>
      </c>
      <c r="K91">
        <v>0.97</v>
      </c>
      <c r="L91" s="6">
        <f t="shared" si="6"/>
        <v>12.069756049493657</v>
      </c>
      <c r="M91" s="7">
        <f t="shared" si="7"/>
        <v>14.682796018971665</v>
      </c>
    </row>
    <row r="92" spans="1:14">
      <c r="A92" s="2" t="s">
        <v>92</v>
      </c>
      <c r="B92" s="5" t="s">
        <v>137</v>
      </c>
      <c r="C92" s="2" t="s">
        <v>139</v>
      </c>
      <c r="D92" s="2" t="s">
        <v>12</v>
      </c>
      <c r="E92" s="2">
        <v>86090.282478402602</v>
      </c>
      <c r="F92" s="2">
        <f t="shared" si="4"/>
        <v>1.8472118803155073</v>
      </c>
      <c r="G92" s="2">
        <f t="shared" si="5"/>
        <v>1.8472118803155073</v>
      </c>
      <c r="H92" s="3">
        <v>0.10100000000000001</v>
      </c>
      <c r="I92" s="3">
        <v>0.5</v>
      </c>
      <c r="J92" s="3">
        <v>1.17</v>
      </c>
      <c r="K92" s="3">
        <v>0.97</v>
      </c>
      <c r="L92" s="6">
        <f t="shared" si="6"/>
        <v>9.1446132688886497</v>
      </c>
      <c r="M92" s="6">
        <f t="shared" si="7"/>
        <v>11.030100540824455</v>
      </c>
      <c r="N92" s="9">
        <f>AVERAGE(M92:M94)</f>
        <v>9.8222327299574559</v>
      </c>
    </row>
    <row r="93" spans="1:14">
      <c r="A93" s="2" t="s">
        <v>93</v>
      </c>
      <c r="B93" s="5" t="s">
        <v>137</v>
      </c>
      <c r="C93" s="2" t="s">
        <v>139</v>
      </c>
      <c r="D93" s="2" t="s">
        <v>12</v>
      </c>
      <c r="E93" s="2">
        <v>71307.927599385905</v>
      </c>
      <c r="F93" s="2">
        <f t="shared" si="4"/>
        <v>1.55648961786115</v>
      </c>
      <c r="G93" s="2">
        <f t="shared" si="5"/>
        <v>1.55648961786115</v>
      </c>
      <c r="H93" s="3">
        <v>0.10100000000000001</v>
      </c>
      <c r="I93" s="3">
        <v>0.5</v>
      </c>
      <c r="J93" s="3">
        <v>1.17</v>
      </c>
      <c r="K93" s="3">
        <v>0.97</v>
      </c>
      <c r="L93" s="6">
        <f t="shared" si="6"/>
        <v>7.7053941478274748</v>
      </c>
      <c r="M93" s="6">
        <f t="shared" si="7"/>
        <v>9.2941352092352005</v>
      </c>
    </row>
    <row r="94" spans="1:14">
      <c r="A94" s="2" t="s">
        <v>94</v>
      </c>
      <c r="B94" s="5" t="s">
        <v>137</v>
      </c>
      <c r="C94" s="2" t="s">
        <v>139</v>
      </c>
      <c r="D94" s="2" t="s">
        <v>12</v>
      </c>
      <c r="E94" s="2">
        <v>71172.587803079208</v>
      </c>
      <c r="F94" s="2">
        <f t="shared" si="4"/>
        <v>1.5538279112450921</v>
      </c>
      <c r="G94" s="2">
        <f t="shared" si="5"/>
        <v>1.5538279112450921</v>
      </c>
      <c r="H94" s="3">
        <v>0.10249999999999999</v>
      </c>
      <c r="I94" s="3">
        <v>0.5</v>
      </c>
      <c r="J94" s="3">
        <v>1.17</v>
      </c>
      <c r="K94" s="3">
        <v>0.97</v>
      </c>
      <c r="L94" s="6">
        <f t="shared" si="6"/>
        <v>7.5796483475370353</v>
      </c>
      <c r="M94" s="6">
        <f t="shared" si="7"/>
        <v>9.1424624398127126</v>
      </c>
    </row>
    <row r="95" spans="1:14">
      <c r="A95" s="1" t="s">
        <v>95</v>
      </c>
      <c r="B95" s="4" t="s">
        <v>138</v>
      </c>
      <c r="C95" s="1" t="s">
        <v>139</v>
      </c>
      <c r="D95" s="1" t="s">
        <v>12</v>
      </c>
      <c r="E95" s="1">
        <v>44065.969995747</v>
      </c>
      <c r="F95" s="1">
        <f t="shared" si="4"/>
        <v>1.0207262964530257</v>
      </c>
      <c r="G95" s="2">
        <f t="shared" si="5"/>
        <v>1.0207262964530257</v>
      </c>
      <c r="H95">
        <v>9.7299999999999998E-2</v>
      </c>
      <c r="I95">
        <v>0.5</v>
      </c>
      <c r="J95">
        <v>1.54</v>
      </c>
      <c r="K95">
        <v>1</v>
      </c>
      <c r="L95" s="6">
        <f t="shared" si="6"/>
        <v>5.2452533219579944</v>
      </c>
      <c r="M95" s="7">
        <f t="shared" si="7"/>
        <v>8.0776901158153116</v>
      </c>
      <c r="N95" s="9">
        <f>AVERAGE(M95:M97)</f>
        <v>11.198142952697376</v>
      </c>
    </row>
    <row r="96" spans="1:14">
      <c r="A96" s="1" t="s">
        <v>96</v>
      </c>
      <c r="B96" s="4" t="s">
        <v>138</v>
      </c>
      <c r="C96" s="1" t="s">
        <v>139</v>
      </c>
      <c r="D96" s="1" t="s">
        <v>12</v>
      </c>
      <c r="E96" s="1">
        <v>72745.392453837194</v>
      </c>
      <c r="F96" s="1">
        <f t="shared" si="4"/>
        <v>1.5847600144322613</v>
      </c>
      <c r="G96" s="2">
        <f t="shared" si="5"/>
        <v>1.5847600144322613</v>
      </c>
      <c r="H96">
        <v>0.1017</v>
      </c>
      <c r="I96">
        <v>0.5</v>
      </c>
      <c r="J96">
        <v>1.54</v>
      </c>
      <c r="K96">
        <v>1</v>
      </c>
      <c r="L96" s="6">
        <f t="shared" si="6"/>
        <v>7.7913471702667714</v>
      </c>
      <c r="M96" s="7">
        <f t="shared" si="7"/>
        <v>11.998674642210828</v>
      </c>
    </row>
    <row r="97" spans="1:13">
      <c r="A97" s="1" t="s">
        <v>97</v>
      </c>
      <c r="B97" s="1" t="s">
        <v>138</v>
      </c>
      <c r="C97" s="1" t="s">
        <v>139</v>
      </c>
      <c r="D97" s="1" t="s">
        <v>12</v>
      </c>
      <c r="E97" s="1">
        <v>78753.725342490099</v>
      </c>
      <c r="F97" s="1">
        <f t="shared" si="4"/>
        <v>1.702924958060261</v>
      </c>
      <c r="G97" s="2">
        <f t="shared" si="5"/>
        <v>1.702924958060261</v>
      </c>
      <c r="H97">
        <v>9.7000000000000003E-2</v>
      </c>
      <c r="I97">
        <v>0.5</v>
      </c>
      <c r="J97">
        <v>1.54</v>
      </c>
      <c r="K97">
        <v>1</v>
      </c>
      <c r="L97" s="6">
        <f t="shared" si="6"/>
        <v>8.7779637013415517</v>
      </c>
      <c r="M97" s="7">
        <f t="shared" si="7"/>
        <v>13.51806410006599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13842-84C1-4A46-9D2E-2BEA855230BD}">
  <dimension ref="A1:Q97"/>
  <sheetViews>
    <sheetView topLeftCell="A73" zoomScale="80" zoomScaleNormal="80" workbookViewId="0">
      <selection activeCell="P61" sqref="P61"/>
    </sheetView>
  </sheetViews>
  <sheetFormatPr defaultColWidth="11.42578125" defaultRowHeight="15"/>
  <cols>
    <col min="1" max="1" width="11.85546875" customWidth="1"/>
    <col min="4" max="4" width="14" customWidth="1"/>
    <col min="11" max="11" width="15.42578125" customWidth="1"/>
    <col min="12" max="12" width="12.28515625" customWidth="1"/>
    <col min="13" max="13" width="11.42578125" style="8"/>
  </cols>
  <sheetData>
    <row r="1" spans="1:17">
      <c r="A1" s="8" t="s">
        <v>102</v>
      </c>
      <c r="B1" s="8" t="s">
        <v>103</v>
      </c>
      <c r="C1" s="8" t="s">
        <v>104</v>
      </c>
      <c r="D1" s="8" t="s">
        <v>0</v>
      </c>
      <c r="E1" s="8" t="s">
        <v>1</v>
      </c>
      <c r="F1" s="8" t="s">
        <v>143</v>
      </c>
      <c r="G1" s="8" t="s">
        <v>107</v>
      </c>
      <c r="H1" s="8" t="s">
        <v>108</v>
      </c>
      <c r="I1" s="8" t="s">
        <v>109</v>
      </c>
      <c r="J1" s="8" t="s">
        <v>110</v>
      </c>
      <c r="K1" s="8" t="s">
        <v>111</v>
      </c>
      <c r="L1" s="8" t="s">
        <v>112</v>
      </c>
      <c r="M1" s="8" t="s">
        <v>113</v>
      </c>
      <c r="O1" s="13" t="s">
        <v>144</v>
      </c>
      <c r="P1" s="14"/>
      <c r="Q1" s="14"/>
    </row>
    <row r="2" spans="1:17">
      <c r="A2" s="2" t="s">
        <v>11</v>
      </c>
      <c r="B2" s="5" t="s">
        <v>115</v>
      </c>
      <c r="C2" s="2" t="s">
        <v>116</v>
      </c>
      <c r="D2" s="2" t="s">
        <v>12</v>
      </c>
      <c r="E2" s="1">
        <v>315699.87115285202</v>
      </c>
      <c r="F2" s="2">
        <f>(E2+15677)/43895</f>
        <v>7.5493079201014242</v>
      </c>
      <c r="G2" s="3">
        <v>9.8400000000000001E-2</v>
      </c>
      <c r="H2" s="3">
        <v>0.5</v>
      </c>
      <c r="I2" s="3">
        <v>1.64</v>
      </c>
      <c r="J2" s="3">
        <v>1.03</v>
      </c>
      <c r="K2" s="6">
        <f>F2*H2/G2</f>
        <v>38.360304472060079</v>
      </c>
      <c r="L2" s="6">
        <f>K2*I2/J2</f>
        <v>61.078543042891766</v>
      </c>
      <c r="M2" s="9">
        <f>AVERAGE(L2:L4)</f>
        <v>50.149877351793641</v>
      </c>
      <c r="O2" s="14"/>
      <c r="P2" s="14"/>
      <c r="Q2" s="14"/>
    </row>
    <row r="3" spans="1:17">
      <c r="A3" s="2" t="s">
        <v>13</v>
      </c>
      <c r="B3" s="5" t="s">
        <v>115</v>
      </c>
      <c r="C3" s="2" t="s">
        <v>116</v>
      </c>
      <c r="D3" s="2" t="s">
        <v>12</v>
      </c>
      <c r="E3" s="1">
        <v>179454.44301373902</v>
      </c>
      <c r="F3" s="2">
        <f t="shared" ref="F3:F66" si="0">(E3+15677)/43895</f>
        <v>4.4454138971121768</v>
      </c>
      <c r="G3" s="3">
        <v>9.4700000000000006E-2</v>
      </c>
      <c r="H3" s="3">
        <v>0.5</v>
      </c>
      <c r="I3" s="3">
        <v>1.64</v>
      </c>
      <c r="J3" s="3">
        <v>1.03</v>
      </c>
      <c r="K3" s="6">
        <f t="shared" ref="K3:K66" si="1">F3*H3/G3</f>
        <v>23.471034303654577</v>
      </c>
      <c r="L3" s="6">
        <f t="shared" ref="L3:L66" si="2">K3*I3/J3</f>
        <v>37.371355590284949</v>
      </c>
      <c r="O3" s="13" t="s">
        <v>117</v>
      </c>
      <c r="P3" s="13" t="s">
        <v>113</v>
      </c>
      <c r="Q3" s="13" t="s">
        <v>118</v>
      </c>
    </row>
    <row r="4" spans="1:17">
      <c r="A4" s="2" t="s">
        <v>14</v>
      </c>
      <c r="B4" s="5" t="s">
        <v>115</v>
      </c>
      <c r="C4" s="2" t="s">
        <v>116</v>
      </c>
      <c r="D4" s="2" t="s">
        <v>12</v>
      </c>
      <c r="E4" s="1">
        <v>268737.16028591304</v>
      </c>
      <c r="F4" s="2">
        <f t="shared" si="0"/>
        <v>6.4794204416428531</v>
      </c>
      <c r="G4" s="3">
        <v>9.9199999999999997E-2</v>
      </c>
      <c r="H4" s="3">
        <v>0.5</v>
      </c>
      <c r="I4" s="3">
        <v>1.64</v>
      </c>
      <c r="J4" s="3">
        <v>1.03</v>
      </c>
      <c r="K4" s="6">
        <f t="shared" si="1"/>
        <v>32.658369161506315</v>
      </c>
      <c r="L4" s="6">
        <f t="shared" si="2"/>
        <v>51.999733422204223</v>
      </c>
      <c r="O4" s="14" t="s">
        <v>119</v>
      </c>
      <c r="P4" s="15">
        <f>AVERAGE(M2,M17,M29,M38)</f>
        <v>52.619925456618063</v>
      </c>
      <c r="Q4" s="15">
        <f>STDEV(M2,M17,M29,M38)/SQRT(4)</f>
        <v>6.6875576426175609</v>
      </c>
    </row>
    <row r="5" spans="1:17">
      <c r="A5" s="1" t="s">
        <v>15</v>
      </c>
      <c r="B5" s="4" t="s">
        <v>120</v>
      </c>
      <c r="C5" s="1" t="s">
        <v>116</v>
      </c>
      <c r="D5" s="1" t="s">
        <v>12</v>
      </c>
      <c r="E5" s="1">
        <v>173036.85016942202</v>
      </c>
      <c r="F5" s="2">
        <f t="shared" si="0"/>
        <v>4.2992106201030191</v>
      </c>
      <c r="G5">
        <v>9.6799999999999997E-2</v>
      </c>
      <c r="H5">
        <v>0.5</v>
      </c>
      <c r="I5">
        <v>1.31</v>
      </c>
      <c r="J5">
        <v>0.99</v>
      </c>
      <c r="K5" s="7">
        <f t="shared" si="1"/>
        <v>22.206666426151958</v>
      </c>
      <c r="L5" s="7">
        <f t="shared" si="2"/>
        <v>29.384578806322288</v>
      </c>
      <c r="M5" s="9">
        <f>AVERAGE(L5:L7)</f>
        <v>34.679071006915109</v>
      </c>
      <c r="O5" s="14" t="s">
        <v>121</v>
      </c>
      <c r="P5" s="15">
        <f>AVERAGE(M8,M23,M32,M47)</f>
        <v>57.397342733341375</v>
      </c>
      <c r="Q5" s="15">
        <f>STDEV(M8,M23,M32,M47)/SQRT(4)</f>
        <v>6.9168282135320363</v>
      </c>
    </row>
    <row r="6" spans="1:17">
      <c r="A6" s="1" t="s">
        <v>16</v>
      </c>
      <c r="B6" s="4" t="s">
        <v>120</v>
      </c>
      <c r="C6" s="1" t="s">
        <v>116</v>
      </c>
      <c r="D6" s="1" t="s">
        <v>12</v>
      </c>
      <c r="E6" s="1">
        <v>168164.86488171501</v>
      </c>
      <c r="F6" s="2">
        <f t="shared" si="0"/>
        <v>4.1882188149382618</v>
      </c>
      <c r="G6">
        <v>9.7000000000000003E-2</v>
      </c>
      <c r="H6">
        <v>0.5</v>
      </c>
      <c r="I6">
        <v>1.31</v>
      </c>
      <c r="J6">
        <v>0.99</v>
      </c>
      <c r="K6" s="7">
        <f t="shared" si="1"/>
        <v>21.588756778032277</v>
      </c>
      <c r="L6" s="7">
        <f t="shared" si="2"/>
        <v>28.566940787093216</v>
      </c>
      <c r="O6" s="14" t="s">
        <v>122</v>
      </c>
      <c r="P6" s="15">
        <f>AVERAGE(M5,M14,M26,M41)</f>
        <v>44.292836244241414</v>
      </c>
      <c r="Q6" s="15">
        <f>STDEV(M5,M14,M26,M41)/SQRT(4)</f>
        <v>7.8372794126245298</v>
      </c>
    </row>
    <row r="7" spans="1:17">
      <c r="A7" s="1" t="s">
        <v>17</v>
      </c>
      <c r="B7" s="4" t="s">
        <v>120</v>
      </c>
      <c r="C7" s="1" t="s">
        <v>116</v>
      </c>
      <c r="D7" s="1" t="s">
        <v>12</v>
      </c>
      <c r="E7" s="1">
        <v>291302.084985369</v>
      </c>
      <c r="F7" s="2">
        <f t="shared" si="0"/>
        <v>6.9934863876379767</v>
      </c>
      <c r="G7">
        <v>0.1004</v>
      </c>
      <c r="H7">
        <v>0.5</v>
      </c>
      <c r="I7">
        <v>1.31</v>
      </c>
      <c r="J7">
        <v>0.99</v>
      </c>
      <c r="K7" s="7">
        <f t="shared" si="1"/>
        <v>34.828119460348489</v>
      </c>
      <c r="L7" s="7">
        <f t="shared" si="2"/>
        <v>46.085693427329822</v>
      </c>
      <c r="O7" s="14" t="s">
        <v>123</v>
      </c>
      <c r="P7" s="15">
        <f>AVERAGE(M11,M20,M35,M44)</f>
        <v>54.62738082941334</v>
      </c>
      <c r="Q7" s="15">
        <f>STDEV(M11,M20,M44,M35)/SQRT(4)</f>
        <v>5.2797662126614604</v>
      </c>
    </row>
    <row r="8" spans="1:17">
      <c r="A8" s="2" t="s">
        <v>18</v>
      </c>
      <c r="B8" s="5" t="s">
        <v>124</v>
      </c>
      <c r="C8" s="2" t="s">
        <v>116</v>
      </c>
      <c r="D8" s="2" t="s">
        <v>12</v>
      </c>
      <c r="E8" s="1">
        <v>304080.67167111597</v>
      </c>
      <c r="F8" s="2">
        <f t="shared" si="0"/>
        <v>7.2846035236613726</v>
      </c>
      <c r="G8" s="3">
        <v>0.1036</v>
      </c>
      <c r="H8" s="3">
        <v>0.5</v>
      </c>
      <c r="I8" s="3">
        <v>1.56</v>
      </c>
      <c r="J8" s="3">
        <v>1.01</v>
      </c>
      <c r="K8" s="6">
        <f t="shared" si="1"/>
        <v>35.157352913423615</v>
      </c>
      <c r="L8" s="6">
        <f t="shared" si="2"/>
        <v>54.302446084099849</v>
      </c>
      <c r="M8" s="9">
        <f>AVERAGE(L8:L10)</f>
        <v>60.168372437795796</v>
      </c>
      <c r="O8" s="13" t="s">
        <v>125</v>
      </c>
      <c r="P8" s="14"/>
      <c r="Q8" s="14"/>
    </row>
    <row r="9" spans="1:17">
      <c r="A9" s="2" t="s">
        <v>19</v>
      </c>
      <c r="B9" s="5" t="s">
        <v>124</v>
      </c>
      <c r="C9" s="2" t="s">
        <v>116</v>
      </c>
      <c r="D9" s="2" t="s">
        <v>12</v>
      </c>
      <c r="E9" s="1">
        <v>381334.43147420097</v>
      </c>
      <c r="F9" s="2">
        <f t="shared" si="0"/>
        <v>9.0445707136166078</v>
      </c>
      <c r="G9" s="3">
        <v>0.10340000000000001</v>
      </c>
      <c r="H9" s="3">
        <v>0.5</v>
      </c>
      <c r="I9" s="3">
        <v>1.56</v>
      </c>
      <c r="J9" s="3">
        <v>1.01</v>
      </c>
      <c r="K9" s="6">
        <f t="shared" si="1"/>
        <v>43.735835172227311</v>
      </c>
      <c r="L9" s="6">
        <f t="shared" si="2"/>
        <v>67.552379077895651</v>
      </c>
      <c r="O9" s="14" t="s">
        <v>119</v>
      </c>
      <c r="P9" s="15">
        <f>AVERAGE(M65,M77,M86)</f>
        <v>365.1068461336672</v>
      </c>
      <c r="Q9" s="15">
        <f>STDEV(M65,M77,M86)/SQRT(3)</f>
        <v>12.151592946286369</v>
      </c>
    </row>
    <row r="10" spans="1:17">
      <c r="A10" s="2" t="s">
        <v>20</v>
      </c>
      <c r="B10" s="5" t="s">
        <v>124</v>
      </c>
      <c r="C10" s="2" t="s">
        <v>116</v>
      </c>
      <c r="D10" s="2" t="s">
        <v>12</v>
      </c>
      <c r="E10" s="1">
        <v>331016.21596335998</v>
      </c>
      <c r="F10" s="2">
        <f t="shared" si="0"/>
        <v>7.8982393430541062</v>
      </c>
      <c r="G10" s="3">
        <v>0.104</v>
      </c>
      <c r="H10" s="3">
        <v>0.5</v>
      </c>
      <c r="I10" s="3">
        <v>1.56</v>
      </c>
      <c r="J10" s="3">
        <v>1.01</v>
      </c>
      <c r="K10" s="6">
        <f t="shared" si="1"/>
        <v>37.972304533913977</v>
      </c>
      <c r="L10" s="6">
        <f t="shared" si="2"/>
        <v>58.650292151391888</v>
      </c>
      <c r="O10" s="14" t="s">
        <v>121</v>
      </c>
      <c r="P10" s="15">
        <f>AVERAGE(M71,M80,M95)</f>
        <v>399.35312887375113</v>
      </c>
      <c r="Q10" s="15">
        <f>STDEV(M71,M80,M95)/SQRT(3)</f>
        <v>7.6674000384348009</v>
      </c>
    </row>
    <row r="11" spans="1:17">
      <c r="A11" s="1" t="s">
        <v>21</v>
      </c>
      <c r="B11" s="4" t="s">
        <v>126</v>
      </c>
      <c r="C11" s="1" t="s">
        <v>116</v>
      </c>
      <c r="D11" s="1" t="s">
        <v>12</v>
      </c>
      <c r="E11" s="1">
        <v>157476.11517083802</v>
      </c>
      <c r="F11" s="2">
        <f t="shared" si="0"/>
        <v>3.9447115883548927</v>
      </c>
      <c r="G11">
        <v>0.1004</v>
      </c>
      <c r="H11">
        <v>0.5</v>
      </c>
      <c r="I11">
        <v>1.36</v>
      </c>
      <c r="J11">
        <v>0.97</v>
      </c>
      <c r="K11" s="7">
        <f t="shared" si="1"/>
        <v>19.644978029655839</v>
      </c>
      <c r="L11" s="7">
        <f t="shared" si="2"/>
        <v>27.543474350857675</v>
      </c>
      <c r="M11" s="9">
        <f>AVERAGE(L11:L13)</f>
        <v>65.256692841109668</v>
      </c>
      <c r="O11" s="14" t="s">
        <v>122</v>
      </c>
      <c r="P11" s="15">
        <f>AVERAGE(M62,M74,M89)</f>
        <v>353.72161300436301</v>
      </c>
      <c r="Q11" s="15">
        <f>STDEV(M62,M74,M89)/SQRT(3)</f>
        <v>65.176350735041822</v>
      </c>
    </row>
    <row r="12" spans="1:17">
      <c r="A12" s="1" t="s">
        <v>22</v>
      </c>
      <c r="B12" s="4" t="s">
        <v>126</v>
      </c>
      <c r="C12" s="1" t="s">
        <v>116</v>
      </c>
      <c r="D12" s="1" t="s">
        <v>12</v>
      </c>
      <c r="E12" s="1">
        <v>186376.295246083</v>
      </c>
      <c r="F12" s="2">
        <f t="shared" si="0"/>
        <v>4.6031050289573523</v>
      </c>
      <c r="G12">
        <v>9.5000000000000001E-2</v>
      </c>
      <c r="H12">
        <v>0.5</v>
      </c>
      <c r="I12">
        <v>1.36</v>
      </c>
      <c r="J12">
        <v>0.97</v>
      </c>
      <c r="K12" s="7">
        <f t="shared" si="1"/>
        <v>24.226868573459747</v>
      </c>
      <c r="L12" s="7">
        <f t="shared" si="2"/>
        <v>33.967568309180677</v>
      </c>
      <c r="O12" s="14" t="s">
        <v>123</v>
      </c>
      <c r="P12" s="15">
        <f>AVERAGE(M59,M68,M83,M92)</f>
        <v>362.33257814506032</v>
      </c>
      <c r="Q12" s="15">
        <f>STDEV(M59,M68,M83,M92)/SQRT(4)</f>
        <v>59.067597128136264</v>
      </c>
    </row>
    <row r="13" spans="1:17">
      <c r="A13" s="1" t="s">
        <v>23</v>
      </c>
      <c r="B13" s="4" t="s">
        <v>126</v>
      </c>
      <c r="C13" s="1" t="s">
        <v>116</v>
      </c>
      <c r="D13" s="1" t="s">
        <v>12</v>
      </c>
      <c r="E13">
        <v>832550.92355193407</v>
      </c>
      <c r="F13" s="2">
        <f t="shared" si="0"/>
        <v>19.324021495658595</v>
      </c>
      <c r="G13">
        <v>0.1009</v>
      </c>
      <c r="H13">
        <v>0.5</v>
      </c>
      <c r="I13">
        <v>1.36</v>
      </c>
      <c r="J13">
        <v>0.97</v>
      </c>
      <c r="K13" s="7">
        <f t="shared" si="1"/>
        <v>95.758282931905825</v>
      </c>
      <c r="L13" s="7">
        <f t="shared" si="2"/>
        <v>134.25903586329065</v>
      </c>
    </row>
    <row r="14" spans="1:17">
      <c r="A14" s="2" t="s">
        <v>24</v>
      </c>
      <c r="B14" s="5" t="s">
        <v>127</v>
      </c>
      <c r="C14" s="2" t="s">
        <v>116</v>
      </c>
      <c r="D14" s="2" t="s">
        <v>12</v>
      </c>
      <c r="E14" s="1">
        <v>148541.92010048102</v>
      </c>
      <c r="F14" s="2">
        <f t="shared" si="0"/>
        <v>3.7411759904426702</v>
      </c>
      <c r="G14" s="3">
        <v>0.10150000000000001</v>
      </c>
      <c r="H14" s="3">
        <v>0.5</v>
      </c>
      <c r="I14" s="3">
        <v>1.43</v>
      </c>
      <c r="J14" s="3">
        <v>0.97</v>
      </c>
      <c r="K14" s="6">
        <f t="shared" si="1"/>
        <v>18.429438376564878</v>
      </c>
      <c r="L14" s="6">
        <f t="shared" si="2"/>
        <v>27.169172039678116</v>
      </c>
      <c r="M14" s="9">
        <f>AVERAGE(L14:L16)</f>
        <v>30.765773911979835</v>
      </c>
    </row>
    <row r="15" spans="1:17">
      <c r="A15" s="2" t="s">
        <v>25</v>
      </c>
      <c r="B15" s="5" t="s">
        <v>127</v>
      </c>
      <c r="C15" s="2" t="s">
        <v>116</v>
      </c>
      <c r="D15" s="2" t="s">
        <v>12</v>
      </c>
      <c r="E15" s="1">
        <v>138757.71520485298</v>
      </c>
      <c r="F15" s="2">
        <f t="shared" si="0"/>
        <v>3.5182757763948738</v>
      </c>
      <c r="G15" s="3">
        <v>9.9299999999999999E-2</v>
      </c>
      <c r="H15" s="3">
        <v>0.5</v>
      </c>
      <c r="I15" s="3">
        <v>1.43</v>
      </c>
      <c r="J15" s="3">
        <v>0.97</v>
      </c>
      <c r="K15" s="6">
        <f t="shared" si="1"/>
        <v>17.715386588091008</v>
      </c>
      <c r="L15" s="6">
        <f t="shared" si="2"/>
        <v>26.116497753577466</v>
      </c>
    </row>
    <row r="16" spans="1:17">
      <c r="A16" s="2" t="s">
        <v>26</v>
      </c>
      <c r="B16" s="5" t="s">
        <v>127</v>
      </c>
      <c r="C16" s="2" t="s">
        <v>116</v>
      </c>
      <c r="D16" s="2" t="s">
        <v>12</v>
      </c>
      <c r="E16" s="1">
        <v>217798.41090967899</v>
      </c>
      <c r="F16" s="2">
        <f t="shared" si="0"/>
        <v>5.3189522931923676</v>
      </c>
      <c r="G16" s="3">
        <v>0.10050000000000001</v>
      </c>
      <c r="H16" s="3">
        <v>0.5</v>
      </c>
      <c r="I16" s="3">
        <v>1.43</v>
      </c>
      <c r="J16" s="3">
        <v>0.97</v>
      </c>
      <c r="K16" s="6">
        <f t="shared" si="1"/>
        <v>26.462449219862524</v>
      </c>
      <c r="L16" s="6">
        <f t="shared" si="2"/>
        <v>39.011651942683926</v>
      </c>
    </row>
    <row r="17" spans="1:13">
      <c r="A17" s="1" t="s">
        <v>27</v>
      </c>
      <c r="B17" s="4" t="s">
        <v>128</v>
      </c>
      <c r="C17" s="1" t="s">
        <v>116</v>
      </c>
      <c r="D17" s="1" t="s">
        <v>12</v>
      </c>
      <c r="E17" s="1">
        <v>301057.13626773102</v>
      </c>
      <c r="F17" s="2">
        <f t="shared" si="0"/>
        <v>7.2157224346219619</v>
      </c>
      <c r="G17">
        <v>0.10489999999999999</v>
      </c>
      <c r="H17">
        <v>0.5</v>
      </c>
      <c r="I17">
        <v>1.27</v>
      </c>
      <c r="J17">
        <v>0.97</v>
      </c>
      <c r="K17" s="7">
        <f t="shared" si="1"/>
        <v>34.393338582564169</v>
      </c>
      <c r="L17" s="7">
        <f t="shared" si="2"/>
        <v>45.030453608099478</v>
      </c>
      <c r="M17" s="9">
        <f>AVERAGE(L17:L19)</f>
        <v>58.050712484152342</v>
      </c>
    </row>
    <row r="18" spans="1:13">
      <c r="A18" s="1" t="s">
        <v>28</v>
      </c>
      <c r="B18" s="4" t="s">
        <v>128</v>
      </c>
      <c r="C18" s="1" t="s">
        <v>116</v>
      </c>
      <c r="D18" s="1" t="s">
        <v>12</v>
      </c>
      <c r="E18" s="1">
        <v>339474.02008498</v>
      </c>
      <c r="F18" s="2">
        <f t="shared" si="0"/>
        <v>8.0909219748258341</v>
      </c>
      <c r="G18">
        <v>0.1003</v>
      </c>
      <c r="H18">
        <v>0.5</v>
      </c>
      <c r="I18">
        <v>1.27</v>
      </c>
      <c r="J18">
        <v>0.97</v>
      </c>
      <c r="K18" s="7">
        <f t="shared" si="1"/>
        <v>40.333609046988208</v>
      </c>
      <c r="L18" s="7">
        <f t="shared" si="2"/>
        <v>52.807921123376317</v>
      </c>
    </row>
    <row r="19" spans="1:13">
      <c r="A19" s="1" t="s">
        <v>29</v>
      </c>
      <c r="B19" s="4" t="s">
        <v>128</v>
      </c>
      <c r="C19" s="1" t="s">
        <v>116</v>
      </c>
      <c r="D19" s="1" t="s">
        <v>12</v>
      </c>
      <c r="E19" s="1">
        <v>521608.63433201</v>
      </c>
      <c r="F19" s="2">
        <f t="shared" si="0"/>
        <v>12.240246823829823</v>
      </c>
      <c r="G19">
        <v>0.105</v>
      </c>
      <c r="H19">
        <v>0.5</v>
      </c>
      <c r="I19">
        <v>1.27</v>
      </c>
      <c r="J19">
        <v>0.97</v>
      </c>
      <c r="K19" s="7">
        <f t="shared" si="1"/>
        <v>58.286889637284872</v>
      </c>
      <c r="L19" s="7">
        <f t="shared" si="2"/>
        <v>76.313762720981231</v>
      </c>
    </row>
    <row r="20" spans="1:13">
      <c r="A20" s="2" t="s">
        <v>30</v>
      </c>
      <c r="B20" s="5" t="s">
        <v>129</v>
      </c>
      <c r="C20" s="2" t="s">
        <v>116</v>
      </c>
      <c r="D20" s="2" t="s">
        <v>12</v>
      </c>
      <c r="E20" s="1">
        <v>225911.185234189</v>
      </c>
      <c r="F20" s="2">
        <f t="shared" si="0"/>
        <v>5.5037745810272014</v>
      </c>
      <c r="G20" s="3">
        <v>0.10299999999999999</v>
      </c>
      <c r="H20" s="3">
        <v>0.5</v>
      </c>
      <c r="I20" s="3">
        <v>1.7</v>
      </c>
      <c r="J20" s="3">
        <v>1.02</v>
      </c>
      <c r="K20" s="6">
        <f t="shared" si="1"/>
        <v>26.717352335083504</v>
      </c>
      <c r="L20" s="6">
        <f t="shared" si="2"/>
        <v>44.528920558472507</v>
      </c>
      <c r="M20" s="9">
        <f>AVERAGE(L20:L22)</f>
        <v>42.022994800670489</v>
      </c>
    </row>
    <row r="21" spans="1:13">
      <c r="A21" s="2" t="s">
        <v>31</v>
      </c>
      <c r="B21" s="5" t="s">
        <v>129</v>
      </c>
      <c r="C21" s="2" t="s">
        <v>116</v>
      </c>
      <c r="D21" s="2" t="s">
        <v>12</v>
      </c>
      <c r="E21" s="1">
        <v>201852.55050454801</v>
      </c>
      <c r="F21" s="2">
        <f t="shared" si="0"/>
        <v>4.9556794738477734</v>
      </c>
      <c r="G21" s="3">
        <v>0.1021</v>
      </c>
      <c r="H21" s="3">
        <v>0.5</v>
      </c>
      <c r="I21" s="3">
        <v>1.7</v>
      </c>
      <c r="J21" s="3">
        <v>1.02</v>
      </c>
      <c r="K21" s="6">
        <f t="shared" si="1"/>
        <v>24.268753544798109</v>
      </c>
      <c r="L21" s="6">
        <f t="shared" si="2"/>
        <v>40.447922574663515</v>
      </c>
    </row>
    <row r="22" spans="1:13">
      <c r="A22" s="2" t="s">
        <v>32</v>
      </c>
      <c r="B22" s="5" t="s">
        <v>129</v>
      </c>
      <c r="C22" s="2" t="s">
        <v>116</v>
      </c>
      <c r="D22" s="2" t="s">
        <v>12</v>
      </c>
      <c r="E22" s="1">
        <v>211161.28467581898</v>
      </c>
      <c r="F22" s="2">
        <f t="shared" si="0"/>
        <v>5.1677476859737776</v>
      </c>
      <c r="G22" s="3">
        <v>0.1048</v>
      </c>
      <c r="H22" s="3">
        <v>0.5</v>
      </c>
      <c r="I22" s="3">
        <v>1.7</v>
      </c>
      <c r="J22" s="3">
        <v>1.02</v>
      </c>
      <c r="K22" s="6">
        <f t="shared" si="1"/>
        <v>24.655284761325273</v>
      </c>
      <c r="L22" s="6">
        <f t="shared" si="2"/>
        <v>41.092141268875451</v>
      </c>
    </row>
    <row r="23" spans="1:13">
      <c r="A23" s="1" t="s">
        <v>33</v>
      </c>
      <c r="B23" s="4" t="s">
        <v>130</v>
      </c>
      <c r="C23" s="1" t="s">
        <v>116</v>
      </c>
      <c r="D23" s="1" t="s">
        <v>12</v>
      </c>
      <c r="E23" s="1">
        <v>238732.980933285</v>
      </c>
      <c r="F23" s="2">
        <f t="shared" si="0"/>
        <v>5.7958760891510419</v>
      </c>
      <c r="G23">
        <v>0.1007</v>
      </c>
      <c r="H23">
        <v>0.5</v>
      </c>
      <c r="I23">
        <v>1.36</v>
      </c>
      <c r="J23">
        <v>0.98</v>
      </c>
      <c r="K23" s="7">
        <f t="shared" si="1"/>
        <v>28.777934901445093</v>
      </c>
      <c r="L23" s="7">
        <f t="shared" si="2"/>
        <v>39.936725985678905</v>
      </c>
      <c r="M23" s="9">
        <f>AVERAGE(L23:L25)</f>
        <v>39.845378326105951</v>
      </c>
    </row>
    <row r="24" spans="1:13">
      <c r="A24" s="1" t="s">
        <v>34</v>
      </c>
      <c r="B24" s="4" t="s">
        <v>130</v>
      </c>
      <c r="C24" s="1" t="s">
        <v>116</v>
      </c>
      <c r="D24" s="1" t="s">
        <v>12</v>
      </c>
      <c r="E24" s="1">
        <v>191323.98595483202</v>
      </c>
      <c r="F24" s="2">
        <f t="shared" si="0"/>
        <v>4.7158215276189095</v>
      </c>
      <c r="G24">
        <v>9.6000000000000002E-2</v>
      </c>
      <c r="H24">
        <v>0.5</v>
      </c>
      <c r="I24">
        <v>1.36</v>
      </c>
      <c r="J24">
        <v>0.98</v>
      </c>
      <c r="K24" s="7">
        <f t="shared" si="1"/>
        <v>24.561570456348488</v>
      </c>
      <c r="L24" s="7">
        <f t="shared" si="2"/>
        <v>34.085444714932599</v>
      </c>
    </row>
    <row r="25" spans="1:13">
      <c r="A25" s="1" t="s">
        <v>35</v>
      </c>
      <c r="B25" s="4" t="s">
        <v>130</v>
      </c>
      <c r="C25" s="1" t="s">
        <v>116</v>
      </c>
      <c r="D25" s="1" t="s">
        <v>12</v>
      </c>
      <c r="E25" s="1">
        <v>275701.42614166002</v>
      </c>
      <c r="F25" s="2">
        <f t="shared" si="0"/>
        <v>6.6380778253026547</v>
      </c>
      <c r="G25">
        <v>0.1012</v>
      </c>
      <c r="H25">
        <v>0.5</v>
      </c>
      <c r="I25">
        <v>1.36</v>
      </c>
      <c r="J25">
        <v>0.98</v>
      </c>
      <c r="K25" s="7">
        <f t="shared" si="1"/>
        <v>32.796827200111927</v>
      </c>
      <c r="L25" s="7">
        <f t="shared" si="2"/>
        <v>45.51396427770635</v>
      </c>
    </row>
    <row r="26" spans="1:13">
      <c r="A26" s="2" t="s">
        <v>36</v>
      </c>
      <c r="B26" s="5" t="s">
        <v>131</v>
      </c>
      <c r="C26" s="2" t="s">
        <v>116</v>
      </c>
      <c r="D26" s="2" t="s">
        <v>12</v>
      </c>
      <c r="E26" s="1">
        <v>254633.12727172198</v>
      </c>
      <c r="F26" s="2">
        <f t="shared" si="0"/>
        <v>6.1581074671767162</v>
      </c>
      <c r="G26" s="3">
        <v>9.5100000000000004E-2</v>
      </c>
      <c r="H26" s="3">
        <v>0.5</v>
      </c>
      <c r="I26" s="3">
        <v>1.25</v>
      </c>
      <c r="J26" s="3">
        <v>0.95</v>
      </c>
      <c r="K26" s="6">
        <f t="shared" si="1"/>
        <v>32.37701086843699</v>
      </c>
      <c r="L26" s="6">
        <f t="shared" si="2"/>
        <v>42.601330090048677</v>
      </c>
      <c r="M26" s="9">
        <f>AVERAGE(L26:L28)</f>
        <v>46.016409535339847</v>
      </c>
    </row>
    <row r="27" spans="1:13">
      <c r="A27" s="2" t="s">
        <v>37</v>
      </c>
      <c r="B27" s="5" t="s">
        <v>131</v>
      </c>
      <c r="C27" s="2" t="s">
        <v>116</v>
      </c>
      <c r="D27" s="2" t="s">
        <v>12</v>
      </c>
      <c r="E27" s="1">
        <v>270041.802875072</v>
      </c>
      <c r="F27" s="2">
        <f t="shared" si="0"/>
        <v>6.509142336828158</v>
      </c>
      <c r="G27" s="3">
        <v>9.8699999999999996E-2</v>
      </c>
      <c r="H27" s="3">
        <v>0.5</v>
      </c>
      <c r="I27" s="3">
        <v>1.25</v>
      </c>
      <c r="J27" s="3">
        <v>0.95</v>
      </c>
      <c r="K27" s="6">
        <f t="shared" si="1"/>
        <v>32.974378606019037</v>
      </c>
      <c r="L27" s="6">
        <f t="shared" si="2"/>
        <v>43.387340271077683</v>
      </c>
    </row>
    <row r="28" spans="1:13">
      <c r="A28" s="2" t="s">
        <v>38</v>
      </c>
      <c r="B28" s="5" t="s">
        <v>131</v>
      </c>
      <c r="C28" s="2" t="s">
        <v>116</v>
      </c>
      <c r="D28" s="2" t="s">
        <v>12</v>
      </c>
      <c r="E28" s="1">
        <v>338620.12957290199</v>
      </c>
      <c r="F28" s="2">
        <f t="shared" si="0"/>
        <v>8.0714689502882333</v>
      </c>
      <c r="G28" s="3">
        <v>0.10199999999999999</v>
      </c>
      <c r="H28" s="3">
        <v>0.5</v>
      </c>
      <c r="I28" s="3">
        <v>1.25</v>
      </c>
      <c r="J28" s="3">
        <v>0.95</v>
      </c>
      <c r="K28" s="6">
        <f t="shared" si="1"/>
        <v>39.566024266118795</v>
      </c>
      <c r="L28" s="6">
        <f t="shared" si="2"/>
        <v>52.060558244893159</v>
      </c>
    </row>
    <row r="29" spans="1:13">
      <c r="A29" s="1" t="s">
        <v>39</v>
      </c>
      <c r="B29" s="4" t="s">
        <v>132</v>
      </c>
      <c r="C29" s="1" t="s">
        <v>116</v>
      </c>
      <c r="D29" s="1" t="s">
        <v>12</v>
      </c>
      <c r="E29" s="1">
        <v>200766.855228247</v>
      </c>
      <c r="F29" s="2">
        <f t="shared" si="0"/>
        <v>4.9309455570850211</v>
      </c>
      <c r="G29">
        <v>0.10390000000000001</v>
      </c>
      <c r="H29">
        <v>0.5</v>
      </c>
      <c r="I29">
        <v>1.49</v>
      </c>
      <c r="J29">
        <v>1.01</v>
      </c>
      <c r="K29" s="7">
        <f t="shared" si="1"/>
        <v>23.729285645259967</v>
      </c>
      <c r="L29" s="7">
        <f t="shared" si="2"/>
        <v>35.006569912314205</v>
      </c>
      <c r="M29" s="9">
        <f>AVERAGE(L29:L31)</f>
        <v>35.380375277072467</v>
      </c>
    </row>
    <row r="30" spans="1:13">
      <c r="A30" s="1" t="s">
        <v>40</v>
      </c>
      <c r="B30" s="4" t="s">
        <v>132</v>
      </c>
      <c r="C30" s="1" t="s">
        <v>116</v>
      </c>
      <c r="D30" s="1" t="s">
        <v>12</v>
      </c>
      <c r="E30" s="1">
        <v>153708.58742332502</v>
      </c>
      <c r="F30" s="2">
        <f t="shared" si="0"/>
        <v>3.8588811350569547</v>
      </c>
      <c r="G30">
        <v>9.69E-2</v>
      </c>
      <c r="H30">
        <v>0.5</v>
      </c>
      <c r="I30">
        <v>1.49</v>
      </c>
      <c r="J30">
        <v>1.01</v>
      </c>
      <c r="K30" s="7">
        <f t="shared" si="1"/>
        <v>19.911667363554979</v>
      </c>
      <c r="L30" s="7">
        <f t="shared" si="2"/>
        <v>29.374637991779128</v>
      </c>
    </row>
    <row r="31" spans="1:13">
      <c r="A31" s="1" t="s">
        <v>41</v>
      </c>
      <c r="B31" s="4" t="s">
        <v>132</v>
      </c>
      <c r="C31" s="1" t="s">
        <v>116</v>
      </c>
      <c r="D31" s="1" t="s">
        <v>12</v>
      </c>
      <c r="E31" s="1">
        <v>232333.650893752</v>
      </c>
      <c r="F31" s="2">
        <f t="shared" si="0"/>
        <v>5.6500888687493331</v>
      </c>
      <c r="G31">
        <v>9.98E-2</v>
      </c>
      <c r="H31">
        <v>0.5</v>
      </c>
      <c r="I31">
        <v>1.49</v>
      </c>
      <c r="J31">
        <v>1.01</v>
      </c>
      <c r="K31" s="7">
        <f t="shared" si="1"/>
        <v>28.307058460668003</v>
      </c>
      <c r="L31" s="7">
        <f t="shared" si="2"/>
        <v>41.759917927124079</v>
      </c>
    </row>
    <row r="32" spans="1:13">
      <c r="A32" s="2" t="s">
        <v>42</v>
      </c>
      <c r="B32" s="5" t="s">
        <v>133</v>
      </c>
      <c r="C32" s="2" t="s">
        <v>116</v>
      </c>
      <c r="D32" s="2" t="s">
        <v>12</v>
      </c>
      <c r="E32" s="1">
        <v>446563.14475805301</v>
      </c>
      <c r="F32" s="2">
        <f t="shared" si="0"/>
        <v>10.530587646840255</v>
      </c>
      <c r="G32" s="3">
        <v>9.9900000000000003E-2</v>
      </c>
      <c r="H32" s="3">
        <v>0.5</v>
      </c>
      <c r="I32" s="3">
        <v>1.43</v>
      </c>
      <c r="J32" s="3">
        <v>0.97</v>
      </c>
      <c r="K32" s="6">
        <f t="shared" si="1"/>
        <v>52.70564387807935</v>
      </c>
      <c r="L32" s="6">
        <f t="shared" si="2"/>
        <v>77.700072933663378</v>
      </c>
      <c r="M32" s="9">
        <f>AVERAGE(L32:L34)</f>
        <v>56.152936753107667</v>
      </c>
    </row>
    <row r="33" spans="1:13">
      <c r="A33" s="2" t="s">
        <v>43</v>
      </c>
      <c r="B33" s="5" t="s">
        <v>133</v>
      </c>
      <c r="C33" s="2" t="s">
        <v>116</v>
      </c>
      <c r="D33" s="2" t="s">
        <v>12</v>
      </c>
      <c r="E33" s="1">
        <v>453118.79433998704</v>
      </c>
      <c r="F33" s="2">
        <f t="shared" si="0"/>
        <v>10.679936082469235</v>
      </c>
      <c r="G33" s="3">
        <v>9.5000000000000001E-2</v>
      </c>
      <c r="H33" s="3">
        <v>0.5</v>
      </c>
      <c r="I33" s="3">
        <v>1.43</v>
      </c>
      <c r="J33" s="3">
        <v>0.97</v>
      </c>
      <c r="K33" s="6">
        <f t="shared" si="1"/>
        <v>56.210189907732811</v>
      </c>
      <c r="L33" s="6">
        <f t="shared" si="2"/>
        <v>82.866568626863838</v>
      </c>
    </row>
    <row r="34" spans="1:13">
      <c r="A34" s="2" t="s">
        <v>44</v>
      </c>
      <c r="B34" s="5" t="s">
        <v>133</v>
      </c>
      <c r="C34" s="2" t="s">
        <v>116</v>
      </c>
      <c r="D34" s="2" t="s">
        <v>12</v>
      </c>
      <c r="E34" s="1">
        <v>450070.744333549</v>
      </c>
      <c r="F34" s="2">
        <f t="shared" si="0"/>
        <v>10.610496510617359</v>
      </c>
      <c r="G34" s="3">
        <v>0.99099999999999999</v>
      </c>
      <c r="H34" s="3">
        <v>0.5</v>
      </c>
      <c r="I34" s="3">
        <v>1.43</v>
      </c>
      <c r="J34" s="3">
        <v>0.97</v>
      </c>
      <c r="K34" s="6">
        <f t="shared" si="1"/>
        <v>5.3534291173649642</v>
      </c>
      <c r="L34" s="6">
        <f t="shared" si="2"/>
        <v>7.8921686987957713</v>
      </c>
    </row>
    <row r="35" spans="1:13">
      <c r="A35" s="1" t="s">
        <v>45</v>
      </c>
      <c r="B35" s="4" t="s">
        <v>134</v>
      </c>
      <c r="C35" s="1" t="s">
        <v>116</v>
      </c>
      <c r="D35" s="1" t="s">
        <v>12</v>
      </c>
      <c r="E35" s="1">
        <v>429759.10669364204</v>
      </c>
      <c r="F35" s="2">
        <f t="shared" si="0"/>
        <v>10.147764134722452</v>
      </c>
      <c r="G35">
        <v>0.1037</v>
      </c>
      <c r="H35">
        <v>0.5</v>
      </c>
      <c r="I35">
        <v>1.27</v>
      </c>
      <c r="J35">
        <v>0.94</v>
      </c>
      <c r="K35" s="7">
        <f t="shared" si="1"/>
        <v>48.92846738053256</v>
      </c>
      <c r="L35" s="7">
        <f t="shared" si="2"/>
        <v>66.105482524762081</v>
      </c>
      <c r="M35" s="9">
        <f>AVERAGE(L35:L37)</f>
        <v>61.124359526273714</v>
      </c>
    </row>
    <row r="36" spans="1:13">
      <c r="A36" s="1" t="s">
        <v>46</v>
      </c>
      <c r="B36" s="4" t="s">
        <v>134</v>
      </c>
      <c r="C36" s="1" t="s">
        <v>116</v>
      </c>
      <c r="D36" s="1" t="s">
        <v>12</v>
      </c>
      <c r="E36" s="1">
        <v>423283.761140691</v>
      </c>
      <c r="F36" s="2">
        <f t="shared" si="0"/>
        <v>10.000245156411687</v>
      </c>
      <c r="G36">
        <v>0.1024</v>
      </c>
      <c r="H36">
        <v>0.5</v>
      </c>
      <c r="I36">
        <v>1.27</v>
      </c>
      <c r="J36">
        <v>0.94</v>
      </c>
      <c r="K36" s="7">
        <f t="shared" si="1"/>
        <v>48.82932205279144</v>
      </c>
      <c r="L36" s="7">
        <f t="shared" si="2"/>
        <v>65.971530858558651</v>
      </c>
    </row>
    <row r="37" spans="1:13">
      <c r="A37" s="1" t="s">
        <v>47</v>
      </c>
      <c r="B37" s="4" t="s">
        <v>134</v>
      </c>
      <c r="C37" s="1" t="s">
        <v>116</v>
      </c>
      <c r="D37" s="1" t="s">
        <v>12</v>
      </c>
      <c r="E37" s="1">
        <v>309637.22343538201</v>
      </c>
      <c r="F37" s="2">
        <f t="shared" si="0"/>
        <v>7.4111908744818775</v>
      </c>
      <c r="G37">
        <v>9.7600000000000006E-2</v>
      </c>
      <c r="H37">
        <v>0.5</v>
      </c>
      <c r="I37">
        <v>1.27</v>
      </c>
      <c r="J37">
        <v>0.94</v>
      </c>
      <c r="K37" s="7">
        <f t="shared" si="1"/>
        <v>37.967166365173547</v>
      </c>
      <c r="L37" s="7">
        <f t="shared" si="2"/>
        <v>51.296065195500439</v>
      </c>
    </row>
    <row r="38" spans="1:13">
      <c r="A38" s="2" t="s">
        <v>48</v>
      </c>
      <c r="B38" s="5" t="s">
        <v>135</v>
      </c>
      <c r="C38" s="2" t="s">
        <v>116</v>
      </c>
      <c r="D38" s="2" t="s">
        <v>12</v>
      </c>
      <c r="E38" s="1">
        <v>314439.97111305303</v>
      </c>
      <c r="F38" s="2">
        <f t="shared" si="0"/>
        <v>7.5206053334788256</v>
      </c>
      <c r="G38" s="3">
        <v>9.9500000000000005E-2</v>
      </c>
      <c r="H38" s="3">
        <v>0.5</v>
      </c>
      <c r="I38" s="3">
        <v>1.35</v>
      </c>
      <c r="J38" s="3">
        <v>0.98</v>
      </c>
      <c r="K38" s="6">
        <f t="shared" si="1"/>
        <v>37.791986600396108</v>
      </c>
      <c r="L38" s="6">
        <f t="shared" si="2"/>
        <v>52.060389704627298</v>
      </c>
      <c r="M38" s="9">
        <f>AVERAGE(L38:L40)</f>
        <v>66.8987367134538</v>
      </c>
    </row>
    <row r="39" spans="1:13">
      <c r="A39" s="2" t="s">
        <v>49</v>
      </c>
      <c r="B39" s="5" t="s">
        <v>135</v>
      </c>
      <c r="C39" s="2" t="s">
        <v>116</v>
      </c>
      <c r="D39" s="2" t="s">
        <v>12</v>
      </c>
      <c r="E39" s="1">
        <v>354592.88694255502</v>
      </c>
      <c r="F39" s="2">
        <f t="shared" si="0"/>
        <v>8.435354526541861</v>
      </c>
      <c r="G39" s="3">
        <v>0.1028</v>
      </c>
      <c r="H39" s="3">
        <v>0.5</v>
      </c>
      <c r="I39" s="3">
        <v>1.35</v>
      </c>
      <c r="J39" s="3">
        <v>0.98</v>
      </c>
      <c r="K39" s="6">
        <f t="shared" si="1"/>
        <v>41.027988942324228</v>
      </c>
      <c r="L39" s="6">
        <f t="shared" si="2"/>
        <v>56.518148032793583</v>
      </c>
    </row>
    <row r="40" spans="1:13">
      <c r="A40" s="2" t="s">
        <v>50</v>
      </c>
      <c r="B40" s="5" t="s">
        <v>135</v>
      </c>
      <c r="C40" s="2" t="s">
        <v>116</v>
      </c>
      <c r="D40" s="2" t="s">
        <v>12</v>
      </c>
      <c r="E40" s="1">
        <v>606603.47897126002</v>
      </c>
      <c r="F40" s="2">
        <f t="shared" si="0"/>
        <v>14.176568606248093</v>
      </c>
      <c r="G40" s="3">
        <v>0.106</v>
      </c>
      <c r="H40" s="3">
        <v>0.5</v>
      </c>
      <c r="I40" s="3">
        <v>1.35</v>
      </c>
      <c r="J40" s="3">
        <v>0.98</v>
      </c>
      <c r="K40" s="6">
        <f t="shared" si="1"/>
        <v>66.870606633245728</v>
      </c>
      <c r="L40" s="6">
        <f t="shared" si="2"/>
        <v>92.117672402940556</v>
      </c>
    </row>
    <row r="41" spans="1:13">
      <c r="A41" s="1" t="s">
        <v>51</v>
      </c>
      <c r="B41" s="4" t="s">
        <v>136</v>
      </c>
      <c r="C41" s="1" t="s">
        <v>116</v>
      </c>
      <c r="D41" s="1" t="s">
        <v>12</v>
      </c>
      <c r="E41" s="1">
        <v>446859.62564899999</v>
      </c>
      <c r="F41" s="2">
        <f t="shared" si="0"/>
        <v>10.53734196717166</v>
      </c>
      <c r="G41">
        <v>0.1002</v>
      </c>
      <c r="H41">
        <v>0.5</v>
      </c>
      <c r="I41">
        <v>1.46</v>
      </c>
      <c r="J41">
        <v>0.97</v>
      </c>
      <c r="K41" s="7">
        <f t="shared" si="1"/>
        <v>52.581546742373554</v>
      </c>
      <c r="L41" s="7">
        <f t="shared" si="2"/>
        <v>79.143359014294219</v>
      </c>
      <c r="M41" s="9">
        <f>AVERAGE(L41:L43)</f>
        <v>65.71009052273088</v>
      </c>
    </row>
    <row r="42" spans="1:13">
      <c r="A42" s="1" t="s">
        <v>52</v>
      </c>
      <c r="B42" s="4" t="s">
        <v>136</v>
      </c>
      <c r="C42" s="1" t="s">
        <v>116</v>
      </c>
      <c r="D42" s="1" t="s">
        <v>12</v>
      </c>
      <c r="E42" s="1">
        <v>320187.45382873999</v>
      </c>
      <c r="F42" s="2">
        <f t="shared" si="0"/>
        <v>7.6515424041175528</v>
      </c>
      <c r="G42">
        <v>0.1013</v>
      </c>
      <c r="H42">
        <v>0.5</v>
      </c>
      <c r="I42">
        <v>1.46</v>
      </c>
      <c r="J42">
        <v>0.97</v>
      </c>
      <c r="K42" s="7">
        <f t="shared" si="1"/>
        <v>37.766744344114279</v>
      </c>
      <c r="L42" s="7">
        <f t="shared" si="2"/>
        <v>56.844790456089534</v>
      </c>
    </row>
    <row r="43" spans="1:13">
      <c r="A43" s="1" t="s">
        <v>53</v>
      </c>
      <c r="B43" s="4" t="s">
        <v>136</v>
      </c>
      <c r="C43" s="1" t="s">
        <v>116</v>
      </c>
      <c r="D43" s="1" t="s">
        <v>12</v>
      </c>
      <c r="E43" s="1">
        <v>343081.67899654998</v>
      </c>
      <c r="F43" s="2">
        <f t="shared" si="0"/>
        <v>8.1731103541758738</v>
      </c>
      <c r="G43">
        <v>0.10059999999999999</v>
      </c>
      <c r="H43">
        <v>0.5</v>
      </c>
      <c r="I43">
        <v>1.46</v>
      </c>
      <c r="J43">
        <v>0.97</v>
      </c>
      <c r="K43" s="7">
        <f t="shared" si="1"/>
        <v>40.621820845804542</v>
      </c>
      <c r="L43" s="7">
        <f t="shared" si="2"/>
        <v>61.142122097808901</v>
      </c>
    </row>
    <row r="44" spans="1:13">
      <c r="A44" s="2" t="s">
        <v>54</v>
      </c>
      <c r="B44" s="5" t="s">
        <v>137</v>
      </c>
      <c r="C44" s="2" t="s">
        <v>116</v>
      </c>
      <c r="D44" s="2" t="s">
        <v>12</v>
      </c>
      <c r="E44" s="1">
        <v>440713.17286072299</v>
      </c>
      <c r="F44" s="2">
        <f t="shared" si="0"/>
        <v>10.397315704766442</v>
      </c>
      <c r="G44" s="3">
        <v>9.9000000000000005E-2</v>
      </c>
      <c r="H44" s="3">
        <v>0.5</v>
      </c>
      <c r="I44" s="3">
        <v>1.1499999999999999</v>
      </c>
      <c r="J44" s="3">
        <v>0.92</v>
      </c>
      <c r="K44" s="6">
        <f t="shared" si="1"/>
        <v>52.511695478618392</v>
      </c>
      <c r="L44" s="6">
        <f t="shared" si="2"/>
        <v>65.639619348272987</v>
      </c>
      <c r="M44" s="9">
        <f>AVERAGE(L44:L46)</f>
        <v>50.105476149599497</v>
      </c>
    </row>
    <row r="45" spans="1:13">
      <c r="A45" s="2" t="s">
        <v>55</v>
      </c>
      <c r="B45" s="5" t="s">
        <v>137</v>
      </c>
      <c r="C45" s="2" t="s">
        <v>116</v>
      </c>
      <c r="D45" s="2" t="s">
        <v>12</v>
      </c>
      <c r="E45" s="1">
        <v>326842.27107393002</v>
      </c>
      <c r="F45" s="2">
        <f t="shared" si="0"/>
        <v>7.8031500415521133</v>
      </c>
      <c r="G45" s="3">
        <v>0.1</v>
      </c>
      <c r="H45" s="3">
        <v>0.5</v>
      </c>
      <c r="I45" s="3">
        <v>1.1499999999999999</v>
      </c>
      <c r="J45" s="3">
        <v>0.92</v>
      </c>
      <c r="K45" s="6">
        <f t="shared" si="1"/>
        <v>39.015750207760561</v>
      </c>
      <c r="L45" s="6">
        <f t="shared" si="2"/>
        <v>48.769687759700695</v>
      </c>
    </row>
    <row r="46" spans="1:13">
      <c r="A46" s="2" t="s">
        <v>56</v>
      </c>
      <c r="B46" s="5" t="s">
        <v>137</v>
      </c>
      <c r="C46" s="2" t="s">
        <v>116</v>
      </c>
      <c r="D46" s="2" t="s">
        <v>12</v>
      </c>
      <c r="E46" s="1">
        <v>240288.63801989402</v>
      </c>
      <c r="F46" s="2">
        <f t="shared" si="0"/>
        <v>5.8313165057499488</v>
      </c>
      <c r="G46" s="3">
        <v>0.10150000000000001</v>
      </c>
      <c r="H46" s="3">
        <v>0.5</v>
      </c>
      <c r="I46" s="3">
        <v>1.1499999999999999</v>
      </c>
      <c r="J46" s="3">
        <v>0.92</v>
      </c>
      <c r="K46" s="6">
        <f t="shared" si="1"/>
        <v>28.725697072659845</v>
      </c>
      <c r="L46" s="6">
        <f t="shared" si="2"/>
        <v>35.907121340824801</v>
      </c>
    </row>
    <row r="47" spans="1:13">
      <c r="A47" s="1" t="s">
        <v>57</v>
      </c>
      <c r="B47" s="4" t="s">
        <v>138</v>
      </c>
      <c r="C47" s="1" t="s">
        <v>116</v>
      </c>
      <c r="D47" s="1" t="s">
        <v>12</v>
      </c>
      <c r="E47" s="1">
        <v>415689.87429329002</v>
      </c>
      <c r="F47" s="2">
        <f t="shared" si="0"/>
        <v>9.8272439752429666</v>
      </c>
      <c r="G47">
        <v>9.8699999999999996E-2</v>
      </c>
      <c r="H47">
        <v>0.5</v>
      </c>
      <c r="I47">
        <v>1.41</v>
      </c>
      <c r="J47">
        <v>0.98</v>
      </c>
      <c r="K47" s="7">
        <f t="shared" si="1"/>
        <v>49.78340412990358</v>
      </c>
      <c r="L47" s="7">
        <f t="shared" si="2"/>
        <v>71.627142676698</v>
      </c>
      <c r="M47" s="9">
        <f>AVERAGE(L47:L49)</f>
        <v>73.42268341635608</v>
      </c>
    </row>
    <row r="48" spans="1:13">
      <c r="A48" s="1" t="s">
        <v>58</v>
      </c>
      <c r="B48" s="4" t="s">
        <v>138</v>
      </c>
      <c r="C48" s="1" t="s">
        <v>116</v>
      </c>
      <c r="D48" s="1" t="s">
        <v>12</v>
      </c>
      <c r="E48" s="1">
        <v>494151.85349528503</v>
      </c>
      <c r="F48" s="2">
        <f t="shared" si="0"/>
        <v>11.614736382168472</v>
      </c>
      <c r="G48">
        <v>9.6000000000000002E-2</v>
      </c>
      <c r="H48">
        <v>0.5</v>
      </c>
      <c r="I48">
        <v>1.41</v>
      </c>
      <c r="J48">
        <v>0.98</v>
      </c>
      <c r="K48" s="7">
        <f t="shared" si="1"/>
        <v>60.493418657127457</v>
      </c>
      <c r="L48" s="7">
        <f t="shared" si="2"/>
        <v>87.036449292397663</v>
      </c>
    </row>
    <row r="49" spans="1:15">
      <c r="A49" s="1" t="s">
        <v>59</v>
      </c>
      <c r="B49" s="4" t="s">
        <v>138</v>
      </c>
      <c r="C49" s="1" t="s">
        <v>116</v>
      </c>
      <c r="D49" s="1" t="s">
        <v>12</v>
      </c>
      <c r="E49" s="1">
        <v>369989.14410986804</v>
      </c>
      <c r="F49" s="2">
        <f t="shared" si="0"/>
        <v>8.7861064838789851</v>
      </c>
      <c r="G49">
        <v>0.1026</v>
      </c>
      <c r="H49">
        <v>0.5</v>
      </c>
      <c r="I49">
        <v>1.41</v>
      </c>
      <c r="J49">
        <v>0.98</v>
      </c>
      <c r="K49" s="7">
        <f t="shared" si="1"/>
        <v>42.817283059839113</v>
      </c>
      <c r="L49" s="7">
        <f t="shared" si="2"/>
        <v>61.604458279972597</v>
      </c>
    </row>
    <row r="50" spans="1:15">
      <c r="A50" s="2" t="s">
        <v>60</v>
      </c>
      <c r="B50" s="5" t="s">
        <v>115</v>
      </c>
      <c r="C50" s="2" t="s">
        <v>139</v>
      </c>
      <c r="D50" s="2" t="s">
        <v>12</v>
      </c>
      <c r="E50" s="1">
        <v>377516.19537944801</v>
      </c>
      <c r="F50" s="2">
        <f t="shared" si="0"/>
        <v>8.9575850411082811</v>
      </c>
      <c r="G50" s="3">
        <v>0.1017</v>
      </c>
      <c r="H50" s="3">
        <v>0.5</v>
      </c>
      <c r="I50" s="3">
        <v>1.42</v>
      </c>
      <c r="J50" s="3">
        <v>1</v>
      </c>
      <c r="K50" s="6">
        <f t="shared" si="1"/>
        <v>44.039257822557921</v>
      </c>
      <c r="L50" s="6">
        <f t="shared" si="2"/>
        <v>62.535746108032242</v>
      </c>
      <c r="M50" s="20">
        <f>AVERAGE(L50:L52)</f>
        <v>61.328250641016943</v>
      </c>
      <c r="O50" t="s">
        <v>140</v>
      </c>
    </row>
    <row r="51" spans="1:15">
      <c r="A51" s="2" t="s">
        <v>61</v>
      </c>
      <c r="B51" s="5" t="s">
        <v>115</v>
      </c>
      <c r="C51" s="2" t="s">
        <v>139</v>
      </c>
      <c r="D51" s="2" t="s">
        <v>12</v>
      </c>
      <c r="E51" s="1">
        <v>488787.70703884104</v>
      </c>
      <c r="F51" s="2">
        <f t="shared" si="0"/>
        <v>11.492532339420004</v>
      </c>
      <c r="G51" s="3">
        <v>0.1052</v>
      </c>
      <c r="H51" s="3">
        <v>0.5</v>
      </c>
      <c r="I51" s="3">
        <v>1.42</v>
      </c>
      <c r="J51" s="3">
        <v>1</v>
      </c>
      <c r="K51" s="6">
        <f t="shared" si="1"/>
        <v>54.622301993441084</v>
      </c>
      <c r="L51" s="6">
        <f t="shared" si="2"/>
        <v>77.563668830686339</v>
      </c>
    </row>
    <row r="52" spans="1:15">
      <c r="A52" s="2" t="s">
        <v>62</v>
      </c>
      <c r="B52" s="5" t="s">
        <v>115</v>
      </c>
      <c r="C52" s="2" t="s">
        <v>139</v>
      </c>
      <c r="D52" s="2" t="s">
        <v>12</v>
      </c>
      <c r="E52" s="1">
        <v>262151.05517373496</v>
      </c>
      <c r="F52" s="2">
        <f t="shared" si="0"/>
        <v>6.3293781791487636</v>
      </c>
      <c r="G52" s="3">
        <v>0.1024</v>
      </c>
      <c r="H52" s="3">
        <v>0.5</v>
      </c>
      <c r="I52" s="3">
        <v>1.42</v>
      </c>
      <c r="J52" s="3">
        <v>1</v>
      </c>
      <c r="K52" s="6">
        <f t="shared" si="1"/>
        <v>30.905166890374822</v>
      </c>
      <c r="L52" s="6">
        <f t="shared" si="2"/>
        <v>43.885336984332248</v>
      </c>
    </row>
    <row r="53" spans="1:15">
      <c r="A53" s="1" t="s">
        <v>63</v>
      </c>
      <c r="B53" s="4" t="s">
        <v>120</v>
      </c>
      <c r="C53" s="1" t="s">
        <v>139</v>
      </c>
      <c r="D53" s="1" t="s">
        <v>12</v>
      </c>
      <c r="E53" s="1">
        <v>344790.37521483697</v>
      </c>
      <c r="F53" s="2">
        <f t="shared" si="0"/>
        <v>8.2120372528724683</v>
      </c>
      <c r="G53">
        <v>0.1004</v>
      </c>
      <c r="H53">
        <v>0.5</v>
      </c>
      <c r="I53">
        <v>1.6</v>
      </c>
      <c r="J53">
        <v>1.02</v>
      </c>
      <c r="K53" s="7">
        <f t="shared" si="1"/>
        <v>40.896599864902733</v>
      </c>
      <c r="L53" s="7">
        <f t="shared" si="2"/>
        <v>64.151529199847431</v>
      </c>
      <c r="M53" s="20">
        <f>AVERAGE(L53:L55)</f>
        <v>57.06285117851511</v>
      </c>
    </row>
    <row r="54" spans="1:15">
      <c r="A54" s="1" t="s">
        <v>64</v>
      </c>
      <c r="B54" s="4" t="s">
        <v>120</v>
      </c>
      <c r="C54" s="1" t="s">
        <v>139</v>
      </c>
      <c r="D54" s="1" t="s">
        <v>12</v>
      </c>
      <c r="E54" s="1">
        <v>264603.38559535402</v>
      </c>
      <c r="F54" s="2">
        <f t="shared" si="0"/>
        <v>6.3852462830699173</v>
      </c>
      <c r="G54">
        <v>9.6799999999999997E-2</v>
      </c>
      <c r="H54">
        <v>0.5</v>
      </c>
      <c r="I54">
        <v>1.6</v>
      </c>
      <c r="J54">
        <v>1.02</v>
      </c>
      <c r="K54" s="7">
        <f t="shared" si="1"/>
        <v>32.981644024121472</v>
      </c>
      <c r="L54" s="7">
        <f t="shared" si="2"/>
        <v>51.735912194700354</v>
      </c>
    </row>
    <row r="55" spans="1:15">
      <c r="A55" s="1" t="s">
        <v>65</v>
      </c>
      <c r="B55" s="4" t="s">
        <v>120</v>
      </c>
      <c r="C55" s="1" t="s">
        <v>139</v>
      </c>
      <c r="D55" s="1" t="s">
        <v>12</v>
      </c>
      <c r="E55" s="1">
        <v>310534.83582770801</v>
      </c>
      <c r="F55" s="2">
        <f t="shared" si="0"/>
        <v>7.4316399550679577</v>
      </c>
      <c r="G55">
        <v>0.10539999999999999</v>
      </c>
      <c r="H55">
        <v>0.5</v>
      </c>
      <c r="I55">
        <v>1.6</v>
      </c>
      <c r="J55">
        <v>1.02</v>
      </c>
      <c r="K55" s="7">
        <f t="shared" si="1"/>
        <v>35.254458989885947</v>
      </c>
      <c r="L55" s="7">
        <f t="shared" si="2"/>
        <v>55.301112140997567</v>
      </c>
    </row>
    <row r="56" spans="1:15">
      <c r="A56" s="2" t="s">
        <v>2</v>
      </c>
      <c r="B56" s="5" t="s">
        <v>124</v>
      </c>
      <c r="C56" s="2" t="s">
        <v>139</v>
      </c>
      <c r="D56" s="2" t="s">
        <v>12</v>
      </c>
      <c r="E56" s="1">
        <v>241613.577599665</v>
      </c>
      <c r="F56" s="2">
        <f t="shared" si="0"/>
        <v>5.8615007996278621</v>
      </c>
      <c r="G56" s="3">
        <v>9.7900000000000001E-2</v>
      </c>
      <c r="H56" s="3">
        <v>0.5</v>
      </c>
      <c r="I56" s="3">
        <v>1.5</v>
      </c>
      <c r="J56" s="3">
        <v>0.98</v>
      </c>
      <c r="K56" s="6">
        <f t="shared" si="1"/>
        <v>29.936163430172943</v>
      </c>
      <c r="L56" s="6">
        <f t="shared" si="2"/>
        <v>45.820658311489204</v>
      </c>
      <c r="M56" s="20">
        <f>AVERAGE(L56:L58)</f>
        <v>51.727378174401487</v>
      </c>
    </row>
    <row r="57" spans="1:15">
      <c r="A57" s="2" t="s">
        <v>2</v>
      </c>
      <c r="B57" s="5" t="s">
        <v>124</v>
      </c>
      <c r="C57" s="2" t="s">
        <v>139</v>
      </c>
      <c r="D57" s="2" t="s">
        <v>12</v>
      </c>
      <c r="E57" s="1">
        <v>235115.13648303802</v>
      </c>
      <c r="F57" s="2">
        <f t="shared" si="0"/>
        <v>5.7134556665460305</v>
      </c>
      <c r="G57" s="3">
        <v>0.10009999999999999</v>
      </c>
      <c r="H57" s="3">
        <v>0.5</v>
      </c>
      <c r="I57" s="3">
        <v>1.5</v>
      </c>
      <c r="J57" s="3">
        <v>0.98</v>
      </c>
      <c r="K57" s="6">
        <f t="shared" si="1"/>
        <v>28.538739593137016</v>
      </c>
      <c r="L57" s="6">
        <f t="shared" si="2"/>
        <v>43.681744275209716</v>
      </c>
    </row>
    <row r="58" spans="1:15">
      <c r="A58" s="2" t="s">
        <v>66</v>
      </c>
      <c r="B58" s="5" t="s">
        <v>124</v>
      </c>
      <c r="C58" s="2" t="s">
        <v>139</v>
      </c>
      <c r="D58" s="2" t="s">
        <v>12</v>
      </c>
      <c r="E58" s="1">
        <v>368570.81714927597</v>
      </c>
      <c r="F58" s="2">
        <f t="shared" si="0"/>
        <v>8.7537946724974596</v>
      </c>
      <c r="G58" s="3">
        <v>0.10199999999999999</v>
      </c>
      <c r="H58" s="3">
        <v>0.5</v>
      </c>
      <c r="I58" s="3">
        <v>1.5</v>
      </c>
      <c r="J58" s="3">
        <v>0.98</v>
      </c>
      <c r="K58" s="6">
        <f t="shared" si="1"/>
        <v>42.910758198516959</v>
      </c>
      <c r="L58" s="6">
        <f t="shared" si="2"/>
        <v>65.679731936505547</v>
      </c>
    </row>
    <row r="59" spans="1:15">
      <c r="A59" s="1" t="s">
        <v>67</v>
      </c>
      <c r="B59" s="4" t="s">
        <v>126</v>
      </c>
      <c r="C59" s="1" t="s">
        <v>139</v>
      </c>
      <c r="D59" s="1" t="s">
        <v>12</v>
      </c>
      <c r="E59" s="1">
        <v>298778.15495339804</v>
      </c>
      <c r="F59" s="2">
        <f t="shared" si="0"/>
        <v>7.1638035073105835</v>
      </c>
      <c r="G59">
        <v>1.035E-2</v>
      </c>
      <c r="H59">
        <v>0.5</v>
      </c>
      <c r="I59">
        <v>1.37</v>
      </c>
      <c r="J59">
        <v>0.98</v>
      </c>
      <c r="K59" s="7">
        <f t="shared" si="1"/>
        <v>346.07746412128421</v>
      </c>
      <c r="L59" s="7">
        <f t="shared" si="2"/>
        <v>483.80216923077495</v>
      </c>
      <c r="M59" s="9">
        <f>AVERAGE(L59,L61)</f>
        <v>411.12454017011379</v>
      </c>
    </row>
    <row r="60" spans="1:15">
      <c r="A60" s="1" t="s">
        <v>68</v>
      </c>
      <c r="B60" s="4" t="s">
        <v>126</v>
      </c>
      <c r="C60" s="1" t="s">
        <v>139</v>
      </c>
      <c r="D60" s="1" t="s">
        <v>12</v>
      </c>
      <c r="E60" s="1">
        <v>317131.50554406398</v>
      </c>
      <c r="F60" s="2">
        <f t="shared" si="0"/>
        <v>7.5819228965500391</v>
      </c>
      <c r="G60">
        <v>0.1012</v>
      </c>
      <c r="H60">
        <v>0.5</v>
      </c>
      <c r="I60">
        <v>1.37</v>
      </c>
      <c r="J60">
        <v>0.98</v>
      </c>
      <c r="K60" s="7">
        <f t="shared" si="1"/>
        <v>37.460093362401381</v>
      </c>
      <c r="L60" s="7">
        <f t="shared" si="2"/>
        <v>52.367681537234589</v>
      </c>
    </row>
    <row r="61" spans="1:15">
      <c r="A61" s="1" t="s">
        <v>5</v>
      </c>
      <c r="B61" s="4" t="s">
        <v>126</v>
      </c>
      <c r="C61" s="1" t="s">
        <v>139</v>
      </c>
      <c r="D61" s="1" t="s">
        <v>12</v>
      </c>
      <c r="E61" s="1">
        <v>2211744.4367359099</v>
      </c>
      <c r="F61" s="2">
        <f t="shared" si="0"/>
        <v>50.744308844649957</v>
      </c>
      <c r="G61">
        <v>0.1048</v>
      </c>
      <c r="H61">
        <v>0.5</v>
      </c>
      <c r="I61">
        <v>1.37</v>
      </c>
      <c r="J61">
        <v>0.98</v>
      </c>
      <c r="K61" s="7">
        <f t="shared" si="1"/>
        <v>242.10071013668872</v>
      </c>
      <c r="L61" s="7">
        <f t="shared" si="2"/>
        <v>338.44691110945263</v>
      </c>
    </row>
    <row r="62" spans="1:15">
      <c r="A62" s="2" t="s">
        <v>4</v>
      </c>
      <c r="B62" s="5" t="s">
        <v>127</v>
      </c>
      <c r="C62" s="2" t="s">
        <v>139</v>
      </c>
      <c r="D62" s="2" t="s">
        <v>12</v>
      </c>
      <c r="E62" s="1">
        <v>2258112.2086421899</v>
      </c>
      <c r="F62" s="2">
        <f t="shared" si="0"/>
        <v>51.800642639074837</v>
      </c>
      <c r="G62" s="3">
        <v>0.1019</v>
      </c>
      <c r="H62" s="3">
        <v>0.5</v>
      </c>
      <c r="I62" s="3">
        <v>1.51</v>
      </c>
      <c r="J62" s="3">
        <v>1.03</v>
      </c>
      <c r="K62" s="6">
        <f t="shared" si="1"/>
        <v>254.17390892578427</v>
      </c>
      <c r="L62" s="6">
        <f t="shared" si="2"/>
        <v>372.62388590090706</v>
      </c>
      <c r="M62" s="9">
        <f>AVERAGE(L62:L64)</f>
        <v>351.17618497266699</v>
      </c>
    </row>
    <row r="63" spans="1:15">
      <c r="A63" s="2" t="s">
        <v>6</v>
      </c>
      <c r="B63" s="5" t="s">
        <v>127</v>
      </c>
      <c r="C63" s="2" t="s">
        <v>139</v>
      </c>
      <c r="D63" s="2" t="s">
        <v>12</v>
      </c>
      <c r="E63" s="1">
        <v>2211744.4367359099</v>
      </c>
      <c r="F63" s="2">
        <f t="shared" si="0"/>
        <v>50.744308844649957</v>
      </c>
      <c r="G63" s="3">
        <v>0.1036</v>
      </c>
      <c r="H63" s="3">
        <v>0.5</v>
      </c>
      <c r="I63" s="3">
        <v>1.51</v>
      </c>
      <c r="J63" s="3">
        <v>1.03</v>
      </c>
      <c r="K63" s="6">
        <f t="shared" si="1"/>
        <v>244.90496546645733</v>
      </c>
      <c r="L63" s="6">
        <f t="shared" si="2"/>
        <v>359.03543481004908</v>
      </c>
    </row>
    <row r="64" spans="1:15">
      <c r="A64" s="2" t="s">
        <v>7</v>
      </c>
      <c r="B64" s="5" t="s">
        <v>127</v>
      </c>
      <c r="C64" s="2" t="s">
        <v>139</v>
      </c>
      <c r="D64" s="2" t="s">
        <v>12</v>
      </c>
      <c r="E64" s="1">
        <v>1988878.7189466399</v>
      </c>
      <c r="F64" s="2">
        <f t="shared" si="0"/>
        <v>45.667062739415421</v>
      </c>
      <c r="G64" s="3">
        <v>0.104</v>
      </c>
      <c r="H64" s="3">
        <v>0.5</v>
      </c>
      <c r="I64" s="3">
        <v>1.51</v>
      </c>
      <c r="J64" s="3">
        <v>1.03</v>
      </c>
      <c r="K64" s="6">
        <f t="shared" si="1"/>
        <v>219.55318624718953</v>
      </c>
      <c r="L64" s="6">
        <f t="shared" si="2"/>
        <v>321.86923420704488</v>
      </c>
    </row>
    <row r="65" spans="1:13">
      <c r="A65" s="1" t="s">
        <v>69</v>
      </c>
      <c r="B65" s="4" t="s">
        <v>128</v>
      </c>
      <c r="C65" s="1" t="s">
        <v>139</v>
      </c>
      <c r="D65" s="1" t="s">
        <v>12</v>
      </c>
      <c r="E65" s="1">
        <v>2066950.0807077</v>
      </c>
      <c r="F65" s="2">
        <f t="shared" si="0"/>
        <v>47.44565624120515</v>
      </c>
      <c r="G65">
        <v>0.1028</v>
      </c>
      <c r="H65">
        <v>0.5</v>
      </c>
      <c r="I65">
        <v>1.51</v>
      </c>
      <c r="J65">
        <v>1</v>
      </c>
      <c r="K65" s="7">
        <f t="shared" si="1"/>
        <v>230.7668105116982</v>
      </c>
      <c r="L65" s="7">
        <f t="shared" si="2"/>
        <v>348.4578838726643</v>
      </c>
      <c r="M65" s="9">
        <f>AVERAGE(L65:L66)</f>
        <v>347.46471537710426</v>
      </c>
    </row>
    <row r="66" spans="1:13">
      <c r="A66" s="1" t="s">
        <v>70</v>
      </c>
      <c r="B66" s="4" t="s">
        <v>128</v>
      </c>
      <c r="C66" s="1" t="s">
        <v>139</v>
      </c>
      <c r="D66" s="1" t="s">
        <v>12</v>
      </c>
      <c r="E66" s="1">
        <v>2087308.00219622</v>
      </c>
      <c r="F66" s="2">
        <f t="shared" si="0"/>
        <v>47.909443038984392</v>
      </c>
      <c r="G66">
        <v>0.10440000000000001</v>
      </c>
      <c r="H66">
        <v>0.5</v>
      </c>
      <c r="I66">
        <v>1.51</v>
      </c>
      <c r="J66">
        <v>1</v>
      </c>
      <c r="K66" s="7">
        <f t="shared" si="1"/>
        <v>229.45135555069152</v>
      </c>
      <c r="L66" s="7">
        <f t="shared" si="2"/>
        <v>346.47154688154421</v>
      </c>
    </row>
    <row r="67" spans="1:13">
      <c r="A67" s="1" t="s">
        <v>8</v>
      </c>
      <c r="B67" s="4" t="s">
        <v>128</v>
      </c>
      <c r="C67" s="1" t="s">
        <v>139</v>
      </c>
      <c r="D67" s="1" t="s">
        <v>12</v>
      </c>
      <c r="E67" s="1">
        <v>147179.02868593999</v>
      </c>
      <c r="F67" s="2">
        <f t="shared" ref="F67:F97" si="3">(E67+15677)/43895</f>
        <v>3.7101270916035993</v>
      </c>
      <c r="G67">
        <v>9.9599999999999994E-2</v>
      </c>
      <c r="H67">
        <v>0.5</v>
      </c>
      <c r="I67">
        <v>1.51</v>
      </c>
      <c r="J67">
        <v>1</v>
      </c>
      <c r="K67" s="7">
        <f t="shared" ref="K67:K97" si="4">F67*H67/G67</f>
        <v>18.625136002026103</v>
      </c>
      <c r="L67" s="7">
        <f t="shared" ref="L67:L97" si="5">K67*I67/J67</f>
        <v>28.123955363059416</v>
      </c>
    </row>
    <row r="68" spans="1:13">
      <c r="A68" s="2" t="s">
        <v>9</v>
      </c>
      <c r="B68" s="5" t="s">
        <v>129</v>
      </c>
      <c r="C68" s="2" t="s">
        <v>139</v>
      </c>
      <c r="D68" s="2" t="s">
        <v>12</v>
      </c>
      <c r="E68" s="1">
        <v>2531650.7601961098</v>
      </c>
      <c r="F68" s="2">
        <f t="shared" si="3"/>
        <v>58.032298899558256</v>
      </c>
      <c r="G68" s="3">
        <v>0.104</v>
      </c>
      <c r="H68" s="3">
        <v>0.5</v>
      </c>
      <c r="I68" s="3">
        <v>1.39</v>
      </c>
      <c r="J68" s="3">
        <v>0.99</v>
      </c>
      <c r="K68" s="6">
        <f t="shared" si="4"/>
        <v>279.00143701710704</v>
      </c>
      <c r="L68" s="6">
        <f t="shared" si="5"/>
        <v>391.72929035735228</v>
      </c>
      <c r="M68" s="9">
        <f>AVERAGE(L68:L70)</f>
        <v>373.3127604610608</v>
      </c>
    </row>
    <row r="69" spans="1:13">
      <c r="A69" s="2" t="s">
        <v>10</v>
      </c>
      <c r="B69" s="5" t="s">
        <v>129</v>
      </c>
      <c r="C69" s="2" t="s">
        <v>139</v>
      </c>
      <c r="D69" s="2" t="s">
        <v>12</v>
      </c>
      <c r="E69" s="1">
        <v>2412937.1140136598</v>
      </c>
      <c r="F69" s="2">
        <f t="shared" si="3"/>
        <v>55.327807586596649</v>
      </c>
      <c r="G69" s="3">
        <v>0.1014</v>
      </c>
      <c r="H69" s="3">
        <v>0.5</v>
      </c>
      <c r="I69" s="3">
        <v>1.39</v>
      </c>
      <c r="J69" s="3">
        <v>0.99</v>
      </c>
      <c r="K69" s="6">
        <f t="shared" si="4"/>
        <v>272.81956403647263</v>
      </c>
      <c r="L69" s="6">
        <f t="shared" si="5"/>
        <v>383.04969091989591</v>
      </c>
    </row>
    <row r="70" spans="1:13">
      <c r="A70" s="2" t="s">
        <v>71</v>
      </c>
      <c r="B70" s="5" t="s">
        <v>129</v>
      </c>
      <c r="C70" s="2" t="s">
        <v>139</v>
      </c>
      <c r="D70" s="2" t="s">
        <v>12</v>
      </c>
      <c r="E70" s="1">
        <v>2129540.8769134199</v>
      </c>
      <c r="F70" s="2">
        <f t="shared" si="3"/>
        <v>48.871577102481375</v>
      </c>
      <c r="G70" s="3">
        <v>9.9400000000000002E-2</v>
      </c>
      <c r="H70" s="3">
        <v>0.5</v>
      </c>
      <c r="I70" s="3">
        <v>1.39</v>
      </c>
      <c r="J70" s="3">
        <v>0.99</v>
      </c>
      <c r="K70" s="6">
        <f t="shared" si="4"/>
        <v>245.83288280926243</v>
      </c>
      <c r="L70" s="6">
        <f t="shared" si="5"/>
        <v>345.15930010593411</v>
      </c>
    </row>
    <row r="71" spans="1:13">
      <c r="A71" s="1" t="s">
        <v>72</v>
      </c>
      <c r="B71" s="4" t="s">
        <v>130</v>
      </c>
      <c r="C71" s="1" t="s">
        <v>139</v>
      </c>
      <c r="D71" s="1" t="s">
        <v>12</v>
      </c>
      <c r="E71" s="1">
        <v>2115464.3177526202</v>
      </c>
      <c r="F71" s="2">
        <f t="shared" si="3"/>
        <v>48.550890027397656</v>
      </c>
      <c r="G71">
        <v>0.1038</v>
      </c>
      <c r="H71">
        <v>0.5</v>
      </c>
      <c r="I71">
        <v>1.66</v>
      </c>
      <c r="J71">
        <v>1.02</v>
      </c>
      <c r="K71" s="7">
        <f t="shared" si="4"/>
        <v>233.86748568110625</v>
      </c>
      <c r="L71" s="7">
        <f t="shared" si="5"/>
        <v>380.60786885356504</v>
      </c>
      <c r="M71" s="9">
        <f>AVERAGE(L71:L73)</f>
        <v>411.76532684527496</v>
      </c>
    </row>
    <row r="72" spans="1:13">
      <c r="A72" s="1" t="s">
        <v>73</v>
      </c>
      <c r="B72" s="4" t="s">
        <v>130</v>
      </c>
      <c r="C72" s="1" t="s">
        <v>139</v>
      </c>
      <c r="D72" s="1" t="s">
        <v>12</v>
      </c>
      <c r="E72" s="1">
        <v>1857765.8180901899</v>
      </c>
      <c r="F72" s="2">
        <f t="shared" si="3"/>
        <v>42.680096095003755</v>
      </c>
      <c r="G72">
        <v>9.6799999999999997E-2</v>
      </c>
      <c r="H72">
        <v>0.5</v>
      </c>
      <c r="I72">
        <v>1.66</v>
      </c>
      <c r="J72">
        <v>1.02</v>
      </c>
      <c r="K72" s="7">
        <f t="shared" si="4"/>
        <v>220.45504181303593</v>
      </c>
      <c r="L72" s="7">
        <f t="shared" si="5"/>
        <v>358.77977393101924</v>
      </c>
    </row>
    <row r="73" spans="1:13">
      <c r="A73" s="1" t="s">
        <v>74</v>
      </c>
      <c r="B73" s="4" t="s">
        <v>130</v>
      </c>
      <c r="C73" s="1" t="s">
        <v>139</v>
      </c>
      <c r="D73" s="1" t="s">
        <v>12</v>
      </c>
      <c r="E73" s="1">
        <v>2734316.4384254199</v>
      </c>
      <c r="F73" s="2">
        <f t="shared" si="3"/>
        <v>62.649355015956715</v>
      </c>
      <c r="G73">
        <v>0.1028</v>
      </c>
      <c r="H73">
        <v>0.5</v>
      </c>
      <c r="I73">
        <v>1.66</v>
      </c>
      <c r="J73">
        <v>1.02</v>
      </c>
      <c r="K73" s="7">
        <f t="shared" si="4"/>
        <v>304.71476175076225</v>
      </c>
      <c r="L73" s="7">
        <f t="shared" si="5"/>
        <v>495.90833775124054</v>
      </c>
    </row>
    <row r="74" spans="1:13">
      <c r="A74" s="2" t="s">
        <v>75</v>
      </c>
      <c r="B74" s="5" t="s">
        <v>131</v>
      </c>
      <c r="C74" s="2" t="s">
        <v>139</v>
      </c>
      <c r="D74" s="2" t="s">
        <v>12</v>
      </c>
      <c r="E74" s="1">
        <v>2680255.9451107201</v>
      </c>
      <c r="F74" s="2">
        <f t="shared" si="3"/>
        <v>61.41776842717212</v>
      </c>
      <c r="G74" s="3">
        <v>0.10340000000000001</v>
      </c>
      <c r="H74" s="3">
        <v>0.5</v>
      </c>
      <c r="I74" s="3">
        <v>1.5</v>
      </c>
      <c r="J74" s="3">
        <v>1</v>
      </c>
      <c r="K74" s="6">
        <f t="shared" si="4"/>
        <v>296.99114326485551</v>
      </c>
      <c r="L74" s="6">
        <f t="shared" si="5"/>
        <v>445.48671489728326</v>
      </c>
      <c r="M74" s="9">
        <f>AVERAGE(L74:L76)</f>
        <v>467.86155292088216</v>
      </c>
    </row>
    <row r="75" spans="1:13">
      <c r="A75" s="2" t="s">
        <v>76</v>
      </c>
      <c r="B75" s="5" t="s">
        <v>131</v>
      </c>
      <c r="C75" s="2" t="s">
        <v>139</v>
      </c>
      <c r="D75" s="2" t="s">
        <v>12</v>
      </c>
      <c r="E75" s="1">
        <v>2947164.4581079599</v>
      </c>
      <c r="F75" s="2">
        <f t="shared" si="3"/>
        <v>67.49838154933272</v>
      </c>
      <c r="G75" s="3">
        <v>9.9400000000000002E-2</v>
      </c>
      <c r="H75" s="3">
        <v>0.5</v>
      </c>
      <c r="I75" s="3">
        <v>1.5</v>
      </c>
      <c r="J75" s="3">
        <v>1</v>
      </c>
      <c r="K75" s="6">
        <f t="shared" si="4"/>
        <v>339.52908224010423</v>
      </c>
      <c r="L75" s="6">
        <f t="shared" si="5"/>
        <v>509.29362336015635</v>
      </c>
    </row>
    <row r="76" spans="1:13">
      <c r="A76" s="2" t="s">
        <v>77</v>
      </c>
      <c r="B76" s="5" t="s">
        <v>131</v>
      </c>
      <c r="C76" s="2" t="s">
        <v>139</v>
      </c>
      <c r="D76" s="2" t="s">
        <v>12</v>
      </c>
      <c r="E76" s="1">
        <v>2642545.5115145301</v>
      </c>
      <c r="F76" s="2">
        <f t="shared" si="3"/>
        <v>60.558662980169267</v>
      </c>
      <c r="G76" s="3">
        <v>0.1012</v>
      </c>
      <c r="H76" s="3">
        <v>0.5</v>
      </c>
      <c r="I76" s="3">
        <v>1.5</v>
      </c>
      <c r="J76" s="3">
        <v>1</v>
      </c>
      <c r="K76" s="6">
        <f t="shared" si="4"/>
        <v>299.2028803368047</v>
      </c>
      <c r="L76" s="6">
        <f t="shared" si="5"/>
        <v>448.80432050520704</v>
      </c>
    </row>
    <row r="77" spans="1:13">
      <c r="A77" s="1" t="s">
        <v>78</v>
      </c>
      <c r="B77" s="4" t="s">
        <v>132</v>
      </c>
      <c r="C77" s="1" t="s">
        <v>139</v>
      </c>
      <c r="D77" s="1" t="s">
        <v>12</v>
      </c>
      <c r="E77" s="1">
        <v>2740167.4271849799</v>
      </c>
      <c r="F77" s="2">
        <f t="shared" si="3"/>
        <v>62.782650123817746</v>
      </c>
      <c r="G77">
        <v>0.1024</v>
      </c>
      <c r="H77">
        <v>0.5</v>
      </c>
      <c r="I77">
        <v>1.49</v>
      </c>
      <c r="J77">
        <v>1.02</v>
      </c>
      <c r="K77" s="7">
        <f t="shared" si="4"/>
        <v>306.55590880770382</v>
      </c>
      <c r="L77" s="7">
        <f t="shared" si="5"/>
        <v>447.81206286615554</v>
      </c>
      <c r="M77" s="9">
        <f>AVERAGE(L77:L79)</f>
        <v>359.45206783453352</v>
      </c>
    </row>
    <row r="78" spans="1:13">
      <c r="A78" s="1" t="s">
        <v>141</v>
      </c>
      <c r="B78" s="4" t="s">
        <v>132</v>
      </c>
      <c r="C78" s="1"/>
      <c r="D78" s="1" t="s">
        <v>142</v>
      </c>
      <c r="E78" s="1">
        <v>2886041.1823514998</v>
      </c>
      <c r="F78" s="2">
        <f t="shared" si="3"/>
        <v>66.105893207688794</v>
      </c>
      <c r="G78">
        <v>9.4299999999999995E-2</v>
      </c>
      <c r="H78">
        <v>0.5</v>
      </c>
      <c r="I78">
        <v>1.49</v>
      </c>
      <c r="J78">
        <v>1.02</v>
      </c>
      <c r="K78" s="7" t="s">
        <v>142</v>
      </c>
      <c r="L78" s="7" t="s">
        <v>142</v>
      </c>
    </row>
    <row r="79" spans="1:13">
      <c r="A79" s="1" t="s">
        <v>79</v>
      </c>
      <c r="B79" s="4" t="s">
        <v>132</v>
      </c>
      <c r="C79" s="1" t="s">
        <v>139</v>
      </c>
      <c r="D79" s="1" t="s">
        <v>12</v>
      </c>
      <c r="E79" s="1">
        <v>1597236.0850649001</v>
      </c>
      <c r="F79" s="2">
        <f t="shared" si="3"/>
        <v>36.744802029044315</v>
      </c>
      <c r="G79">
        <v>9.9000000000000005E-2</v>
      </c>
      <c r="H79">
        <v>0.5</v>
      </c>
      <c r="I79">
        <v>1.49</v>
      </c>
      <c r="J79">
        <v>1.02</v>
      </c>
      <c r="K79" s="7">
        <f t="shared" si="4"/>
        <v>185.57980822749653</v>
      </c>
      <c r="L79" s="7">
        <f t="shared" si="5"/>
        <v>271.09207280291156</v>
      </c>
    </row>
    <row r="80" spans="1:13">
      <c r="A80" s="2" t="s">
        <v>80</v>
      </c>
      <c r="B80" s="5" t="s">
        <v>133</v>
      </c>
      <c r="C80" s="2" t="s">
        <v>139</v>
      </c>
      <c r="D80" s="2" t="s">
        <v>12</v>
      </c>
      <c r="E80" s="1">
        <v>2047275.3837789299</v>
      </c>
      <c r="F80" s="2">
        <f t="shared" si="3"/>
        <v>46.997434418018678</v>
      </c>
      <c r="G80" s="3">
        <v>0.10100000000000001</v>
      </c>
      <c r="H80" s="3">
        <v>0.5</v>
      </c>
      <c r="I80" s="3">
        <v>1.55</v>
      </c>
      <c r="J80" s="3">
        <v>1.01</v>
      </c>
      <c r="K80" s="6">
        <f t="shared" si="4"/>
        <v>232.66056642583501</v>
      </c>
      <c r="L80" s="6">
        <f t="shared" si="5"/>
        <v>357.05334451489534</v>
      </c>
      <c r="M80" s="9">
        <f>AVERAGE(L80:L81)</f>
        <v>400.9457526157791</v>
      </c>
    </row>
    <row r="81" spans="1:13">
      <c r="A81" s="2" t="s">
        <v>81</v>
      </c>
      <c r="B81" s="5" t="s">
        <v>133</v>
      </c>
      <c r="C81" s="2" t="s">
        <v>139</v>
      </c>
      <c r="D81" s="2" t="s">
        <v>12</v>
      </c>
      <c r="E81" s="1">
        <v>2495942.89022265</v>
      </c>
      <c r="F81" s="2">
        <f t="shared" si="3"/>
        <v>57.218815132079961</v>
      </c>
      <c r="G81" s="3">
        <v>9.8699999999999996E-2</v>
      </c>
      <c r="H81" s="3">
        <v>0.5</v>
      </c>
      <c r="I81" s="3">
        <v>1.55</v>
      </c>
      <c r="J81" s="3">
        <v>1.01</v>
      </c>
      <c r="K81" s="6">
        <f t="shared" si="4"/>
        <v>289.86228537021259</v>
      </c>
      <c r="L81" s="6">
        <f t="shared" si="5"/>
        <v>444.83816071666286</v>
      </c>
    </row>
    <row r="82" spans="1:13">
      <c r="A82" s="2" t="s">
        <v>82</v>
      </c>
      <c r="B82" s="5" t="s">
        <v>133</v>
      </c>
      <c r="C82" s="2" t="s">
        <v>139</v>
      </c>
      <c r="D82" s="2" t="s">
        <v>12</v>
      </c>
      <c r="E82" s="1">
        <v>423401.68293468497</v>
      </c>
      <c r="F82" s="2">
        <f t="shared" si="3"/>
        <v>10.002931608034741</v>
      </c>
      <c r="G82" s="3">
        <v>0.1026</v>
      </c>
      <c r="H82" s="3">
        <v>0.5</v>
      </c>
      <c r="I82" s="3">
        <v>1.55</v>
      </c>
      <c r="J82" s="3">
        <v>1.01</v>
      </c>
      <c r="K82" s="6">
        <f t="shared" si="4"/>
        <v>48.747230058648839</v>
      </c>
      <c r="L82" s="6">
        <f t="shared" si="5"/>
        <v>74.810105535550193</v>
      </c>
    </row>
    <row r="83" spans="1:13">
      <c r="A83" s="1" t="s">
        <v>83</v>
      </c>
      <c r="B83" s="4" t="s">
        <v>134</v>
      </c>
      <c r="C83" s="1" t="s">
        <v>139</v>
      </c>
      <c r="D83" s="1" t="s">
        <v>12</v>
      </c>
      <c r="E83" s="1">
        <v>2749952.8289382099</v>
      </c>
      <c r="F83" s="2">
        <f t="shared" si="3"/>
        <v>63.00557760424217</v>
      </c>
      <c r="G83">
        <v>9.98E-2</v>
      </c>
      <c r="H83">
        <v>0.5</v>
      </c>
      <c r="I83">
        <v>1.41</v>
      </c>
      <c r="J83">
        <v>0.98</v>
      </c>
      <c r="K83" s="7">
        <f t="shared" si="4"/>
        <v>315.65920643407901</v>
      </c>
      <c r="L83" s="7">
        <f t="shared" si="5"/>
        <v>454.16273578780749</v>
      </c>
      <c r="M83" s="9">
        <f>AVERAGE(L83:L85)</f>
        <v>469.52348760235992</v>
      </c>
    </row>
    <row r="84" spans="1:13">
      <c r="A84" s="1" t="s">
        <v>84</v>
      </c>
      <c r="B84" s="4" t="s">
        <v>134</v>
      </c>
      <c r="C84" s="1" t="s">
        <v>139</v>
      </c>
      <c r="D84" s="1" t="s">
        <v>12</v>
      </c>
      <c r="E84" s="1">
        <v>2685695.1663433299</v>
      </c>
      <c r="F84" s="2">
        <f t="shared" si="3"/>
        <v>61.541682796294111</v>
      </c>
      <c r="G84">
        <v>9.7100000000000006E-2</v>
      </c>
      <c r="H84">
        <v>0.5</v>
      </c>
      <c r="I84">
        <v>1.41</v>
      </c>
      <c r="J84">
        <v>0.98</v>
      </c>
      <c r="K84" s="7">
        <f t="shared" si="4"/>
        <v>316.89846959986664</v>
      </c>
      <c r="L84" s="7">
        <f t="shared" si="5"/>
        <v>455.94575728144076</v>
      </c>
    </row>
    <row r="85" spans="1:13">
      <c r="A85" s="1" t="s">
        <v>85</v>
      </c>
      <c r="B85" s="4" t="s">
        <v>134</v>
      </c>
      <c r="C85" s="1" t="s">
        <v>139</v>
      </c>
      <c r="D85" s="1" t="s">
        <v>12</v>
      </c>
      <c r="E85" s="1">
        <v>3104874.84351318</v>
      </c>
      <c r="F85" s="2">
        <f t="shared" si="3"/>
        <v>71.091282458438997</v>
      </c>
      <c r="G85">
        <v>0.1026</v>
      </c>
      <c r="H85">
        <v>0.5</v>
      </c>
      <c r="I85">
        <v>1.41</v>
      </c>
      <c r="J85">
        <v>0.98</v>
      </c>
      <c r="K85" s="7">
        <f t="shared" si="4"/>
        <v>346.44874492416665</v>
      </c>
      <c r="L85" s="7">
        <f t="shared" si="5"/>
        <v>498.46196973783157</v>
      </c>
    </row>
    <row r="86" spans="1:13">
      <c r="A86" s="2" t="s">
        <v>86</v>
      </c>
      <c r="B86" s="5" t="s">
        <v>135</v>
      </c>
      <c r="C86" s="2" t="s">
        <v>139</v>
      </c>
      <c r="D86" s="2" t="s">
        <v>12</v>
      </c>
      <c r="E86" s="1">
        <v>2213543.8747644001</v>
      </c>
      <c r="F86" s="2">
        <f t="shared" si="3"/>
        <v>50.785302990418046</v>
      </c>
      <c r="G86" s="3">
        <v>9.6600000000000005E-2</v>
      </c>
      <c r="H86" s="3">
        <v>0.5</v>
      </c>
      <c r="I86" s="3">
        <v>1.61</v>
      </c>
      <c r="J86" s="3">
        <v>1.02</v>
      </c>
      <c r="K86" s="6">
        <f t="shared" si="4"/>
        <v>262.86388711396501</v>
      </c>
      <c r="L86" s="6">
        <f t="shared" si="5"/>
        <v>414.91260613086638</v>
      </c>
      <c r="M86" s="9">
        <f>AVERAGE(L86:L88)</f>
        <v>388.40375518936389</v>
      </c>
    </row>
    <row r="87" spans="1:13">
      <c r="A87" s="2" t="s">
        <v>87</v>
      </c>
      <c r="B87" s="5" t="s">
        <v>135</v>
      </c>
      <c r="C87" s="2" t="s">
        <v>139</v>
      </c>
      <c r="D87" s="2" t="s">
        <v>12</v>
      </c>
      <c r="E87" s="1">
        <v>1823544.2857401301</v>
      </c>
      <c r="F87" s="2">
        <f t="shared" si="3"/>
        <v>41.900473533207204</v>
      </c>
      <c r="G87" s="3">
        <v>0.1045</v>
      </c>
      <c r="H87" s="3">
        <v>0.5</v>
      </c>
      <c r="I87" s="3">
        <v>1.61</v>
      </c>
      <c r="J87" s="3">
        <v>1.02</v>
      </c>
      <c r="K87" s="6">
        <f t="shared" si="4"/>
        <v>200.48073460864691</v>
      </c>
      <c r="L87" s="6">
        <f t="shared" si="5"/>
        <v>316.44508109796232</v>
      </c>
    </row>
    <row r="88" spans="1:13">
      <c r="A88" s="2" t="s">
        <v>88</v>
      </c>
      <c r="B88" s="5" t="s">
        <v>135</v>
      </c>
      <c r="C88" s="2" t="s">
        <v>139</v>
      </c>
      <c r="D88" s="2" t="s">
        <v>12</v>
      </c>
      <c r="E88" s="1">
        <v>2426308.2760444102</v>
      </c>
      <c r="F88" s="2">
        <f t="shared" si="3"/>
        <v>55.632424559617498</v>
      </c>
      <c r="G88" s="3">
        <v>0.1012</v>
      </c>
      <c r="H88" s="3">
        <v>0.5</v>
      </c>
      <c r="I88" s="3">
        <v>1.61</v>
      </c>
      <c r="J88" s="3">
        <v>1.02</v>
      </c>
      <c r="K88" s="6">
        <f t="shared" si="4"/>
        <v>274.86375770562006</v>
      </c>
      <c r="L88" s="6">
        <f t="shared" si="5"/>
        <v>433.85357833926304</v>
      </c>
    </row>
    <row r="89" spans="1:13">
      <c r="A89" s="1" t="s">
        <v>89</v>
      </c>
      <c r="B89" s="4" t="s">
        <v>136</v>
      </c>
      <c r="C89" s="1" t="s">
        <v>139</v>
      </c>
      <c r="D89" s="1" t="s">
        <v>12</v>
      </c>
      <c r="E89" s="1">
        <v>1727903.74760649</v>
      </c>
      <c r="F89" s="2">
        <f t="shared" si="3"/>
        <v>39.721625415343205</v>
      </c>
      <c r="G89">
        <v>9.98E-2</v>
      </c>
      <c r="H89">
        <v>0.5</v>
      </c>
      <c r="I89">
        <v>1.18</v>
      </c>
      <c r="J89">
        <v>0.97</v>
      </c>
      <c r="K89" s="7">
        <f t="shared" si="4"/>
        <v>199.00613935542688</v>
      </c>
      <c r="L89" s="7">
        <f t="shared" si="5"/>
        <v>242.08994272103476</v>
      </c>
      <c r="M89" s="9">
        <f>AVERAGE(L89:L91)</f>
        <v>242.12710111953984</v>
      </c>
    </row>
    <row r="90" spans="1:13">
      <c r="A90" s="1" t="s">
        <v>90</v>
      </c>
      <c r="B90" s="4" t="s">
        <v>136</v>
      </c>
      <c r="C90" s="1" t="s">
        <v>139</v>
      </c>
      <c r="D90" s="1" t="s">
        <v>12</v>
      </c>
      <c r="E90" s="1">
        <v>1564993.99198783</v>
      </c>
      <c r="F90" s="2">
        <f t="shared" si="3"/>
        <v>36.010274336207544</v>
      </c>
      <c r="G90">
        <v>9.7199999999999995E-2</v>
      </c>
      <c r="H90">
        <v>0.5</v>
      </c>
      <c r="I90">
        <v>1.18</v>
      </c>
      <c r="J90">
        <v>0.97</v>
      </c>
      <c r="K90" s="7">
        <f t="shared" si="4"/>
        <v>185.23803670888657</v>
      </c>
      <c r="L90" s="7">
        <f t="shared" si="5"/>
        <v>225.34111682111973</v>
      </c>
    </row>
    <row r="91" spans="1:13">
      <c r="A91" s="1" t="s">
        <v>91</v>
      </c>
      <c r="B91" s="4" t="s">
        <v>136</v>
      </c>
      <c r="C91" s="1" t="s">
        <v>139</v>
      </c>
      <c r="D91" s="1" t="s">
        <v>12</v>
      </c>
      <c r="E91" s="1">
        <v>1791403.81136782</v>
      </c>
      <c r="F91" s="2">
        <f t="shared" si="3"/>
        <v>41.168260880916279</v>
      </c>
      <c r="G91">
        <v>9.6699999999999994E-2</v>
      </c>
      <c r="H91">
        <v>0.5</v>
      </c>
      <c r="I91">
        <v>1.18</v>
      </c>
      <c r="J91">
        <v>0.97</v>
      </c>
      <c r="K91" s="7">
        <f t="shared" si="4"/>
        <v>212.86587839150093</v>
      </c>
      <c r="L91" s="7">
        <f t="shared" si="5"/>
        <v>258.95024381646505</v>
      </c>
    </row>
    <row r="92" spans="1:13">
      <c r="A92" s="2" t="s">
        <v>92</v>
      </c>
      <c r="B92" s="5" t="s">
        <v>137</v>
      </c>
      <c r="C92" s="2" t="s">
        <v>139</v>
      </c>
      <c r="D92" s="2" t="s">
        <v>12</v>
      </c>
      <c r="E92" s="1">
        <v>1533366.90647313</v>
      </c>
      <c r="F92" s="2">
        <f t="shared" si="3"/>
        <v>35.289757523023809</v>
      </c>
      <c r="G92" s="3">
        <v>0.10100000000000001</v>
      </c>
      <c r="H92" s="3">
        <v>0.5</v>
      </c>
      <c r="I92" s="3">
        <v>1.17</v>
      </c>
      <c r="J92" s="3">
        <v>0.97</v>
      </c>
      <c r="K92" s="6">
        <f t="shared" si="4"/>
        <v>174.70176991595943</v>
      </c>
      <c r="L92" s="6">
        <f t="shared" si="5"/>
        <v>210.7227534037861</v>
      </c>
      <c r="M92" s="9">
        <f>AVERAGE(L92:L94)</f>
        <v>195.36952434670687</v>
      </c>
    </row>
    <row r="93" spans="1:13">
      <c r="A93" s="2" t="s">
        <v>93</v>
      </c>
      <c r="B93" s="5" t="s">
        <v>137</v>
      </c>
      <c r="C93" s="2" t="s">
        <v>139</v>
      </c>
      <c r="D93" s="2" t="s">
        <v>12</v>
      </c>
      <c r="E93" s="1">
        <v>1381060.64457752</v>
      </c>
      <c r="F93" s="2">
        <f t="shared" si="3"/>
        <v>31.819971399419522</v>
      </c>
      <c r="G93" s="3">
        <v>0.10100000000000001</v>
      </c>
      <c r="H93" s="3">
        <v>0.5</v>
      </c>
      <c r="I93" s="3">
        <v>1.17</v>
      </c>
      <c r="J93" s="3">
        <v>0.97</v>
      </c>
      <c r="K93" s="6">
        <f t="shared" si="4"/>
        <v>157.52461088821545</v>
      </c>
      <c r="L93" s="6">
        <f t="shared" si="5"/>
        <v>190.00391210228048</v>
      </c>
    </row>
    <row r="94" spans="1:13">
      <c r="A94" s="2" t="s">
        <v>94</v>
      </c>
      <c r="B94" s="5" t="s">
        <v>137</v>
      </c>
      <c r="C94" s="2" t="s">
        <v>139</v>
      </c>
      <c r="D94" s="2" t="s">
        <v>12</v>
      </c>
      <c r="E94" s="1">
        <v>1367322.8517825401</v>
      </c>
      <c r="F94" s="2">
        <f t="shared" si="3"/>
        <v>31.507001977048414</v>
      </c>
      <c r="G94" s="3">
        <v>0.10249999999999999</v>
      </c>
      <c r="H94" s="3">
        <v>0.5</v>
      </c>
      <c r="I94" s="3">
        <v>1.17</v>
      </c>
      <c r="J94" s="3">
        <v>0.97</v>
      </c>
      <c r="K94" s="6">
        <f t="shared" si="4"/>
        <v>153.69269257096789</v>
      </c>
      <c r="L94" s="6">
        <f t="shared" si="5"/>
        <v>185.38190753405405</v>
      </c>
    </row>
    <row r="95" spans="1:13">
      <c r="A95" s="1" t="s">
        <v>95</v>
      </c>
      <c r="B95" s="4" t="s">
        <v>138</v>
      </c>
      <c r="C95" s="1" t="s">
        <v>139</v>
      </c>
      <c r="D95" s="1" t="s">
        <v>12</v>
      </c>
      <c r="E95" s="1">
        <v>1866607.3940062299</v>
      </c>
      <c r="F95" s="2">
        <f t="shared" si="3"/>
        <v>42.881521676870484</v>
      </c>
      <c r="G95">
        <v>9.7299999999999998E-2</v>
      </c>
      <c r="H95">
        <v>0.5</v>
      </c>
      <c r="I95">
        <v>1.54</v>
      </c>
      <c r="J95">
        <v>1</v>
      </c>
      <c r="K95" s="7">
        <f t="shared" si="4"/>
        <v>220.35725424907753</v>
      </c>
      <c r="L95" s="7">
        <f t="shared" si="5"/>
        <v>339.35017154357939</v>
      </c>
      <c r="M95" s="9">
        <f>AVERAGE(L95:L97)</f>
        <v>385.34830716019945</v>
      </c>
    </row>
    <row r="96" spans="1:13">
      <c r="A96" s="1" t="s">
        <v>96</v>
      </c>
      <c r="B96" s="4" t="s">
        <v>138</v>
      </c>
      <c r="C96" s="1" t="s">
        <v>139</v>
      </c>
      <c r="D96" s="1" t="s">
        <v>12</v>
      </c>
      <c r="E96" s="1">
        <v>2128658.9904426001</v>
      </c>
      <c r="F96" s="2">
        <f t="shared" si="3"/>
        <v>48.851486284146262</v>
      </c>
      <c r="G96">
        <v>0.1017</v>
      </c>
      <c r="H96">
        <v>0.5</v>
      </c>
      <c r="I96">
        <v>1.54</v>
      </c>
      <c r="J96">
        <v>1</v>
      </c>
      <c r="K96" s="7">
        <f t="shared" si="4"/>
        <v>240.17446550711043</v>
      </c>
      <c r="L96" s="7">
        <f t="shared" si="5"/>
        <v>369.86867688095009</v>
      </c>
    </row>
    <row r="97" spans="1:12">
      <c r="A97" s="1" t="s">
        <v>97</v>
      </c>
      <c r="B97" s="1" t="s">
        <v>138</v>
      </c>
      <c r="C97" s="1" t="s">
        <v>139</v>
      </c>
      <c r="D97" s="1" t="s">
        <v>12</v>
      </c>
      <c r="E97" s="1">
        <v>2455105.8003236698</v>
      </c>
      <c r="F97" s="2">
        <f t="shared" si="3"/>
        <v>56.288479333037245</v>
      </c>
      <c r="G97">
        <v>9.7000000000000003E-2</v>
      </c>
      <c r="H97">
        <v>0.5</v>
      </c>
      <c r="I97">
        <v>1.54</v>
      </c>
      <c r="J97">
        <v>1</v>
      </c>
      <c r="K97" s="7">
        <f t="shared" si="4"/>
        <v>290.14680068575899</v>
      </c>
      <c r="L97" s="7">
        <f t="shared" si="5"/>
        <v>446.82607305606888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FC081-17A7-42F8-9874-B76B6B1752A7}">
  <dimension ref="A1:Q97"/>
  <sheetViews>
    <sheetView zoomScale="60" zoomScaleNormal="60" workbookViewId="0">
      <selection activeCell="M95" activeCellId="31" sqref="M2 M5 M8 M11 M14 M17 M20 M23 M26 M29 M32 M35 M38 M41 M44 M47 M50 M53 M56 M59 M62 M65 M68 M71 M74 M77 M80 M83 M86 M89 M92 M95"/>
    </sheetView>
  </sheetViews>
  <sheetFormatPr defaultColWidth="11.42578125" defaultRowHeight="15"/>
  <cols>
    <col min="1" max="1" width="11.85546875" customWidth="1"/>
    <col min="4" max="4" width="14" customWidth="1"/>
    <col min="11" max="11" width="15.42578125" customWidth="1"/>
    <col min="12" max="12" width="12.28515625" customWidth="1"/>
    <col min="13" max="13" width="11.42578125" style="8"/>
  </cols>
  <sheetData>
    <row r="1" spans="1:17">
      <c r="A1" s="8" t="s">
        <v>102</v>
      </c>
      <c r="B1" s="8" t="s">
        <v>103</v>
      </c>
      <c r="C1" s="8" t="s">
        <v>104</v>
      </c>
      <c r="D1" s="8" t="s">
        <v>0</v>
      </c>
      <c r="E1" s="8" t="s">
        <v>1</v>
      </c>
      <c r="F1" s="8" t="s">
        <v>143</v>
      </c>
      <c r="G1" s="8" t="s">
        <v>107</v>
      </c>
      <c r="H1" s="8" t="s">
        <v>108</v>
      </c>
      <c r="I1" s="8" t="s">
        <v>109</v>
      </c>
      <c r="J1" s="8" t="s">
        <v>110</v>
      </c>
      <c r="K1" s="8" t="s">
        <v>111</v>
      </c>
      <c r="L1" s="8" t="s">
        <v>112</v>
      </c>
      <c r="M1" s="8" t="s">
        <v>113</v>
      </c>
      <c r="O1" s="16" t="s">
        <v>144</v>
      </c>
      <c r="P1" s="17"/>
      <c r="Q1" s="17"/>
    </row>
    <row r="2" spans="1:17">
      <c r="A2" s="2" t="s">
        <v>11</v>
      </c>
      <c r="B2" s="5" t="s">
        <v>115</v>
      </c>
      <c r="C2" s="2" t="s">
        <v>116</v>
      </c>
      <c r="D2" s="2" t="s">
        <v>12</v>
      </c>
      <c r="E2" s="1"/>
      <c r="F2" s="2">
        <v>0</v>
      </c>
      <c r="G2" s="3">
        <v>9.8400000000000001E-2</v>
      </c>
      <c r="H2" s="3">
        <v>0.5</v>
      </c>
      <c r="I2" s="3">
        <v>1.64</v>
      </c>
      <c r="J2" s="3">
        <v>1.03</v>
      </c>
      <c r="K2" s="6">
        <f>F2*H2/G2</f>
        <v>0</v>
      </c>
      <c r="L2" s="6">
        <f>K2*I2/J2</f>
        <v>0</v>
      </c>
      <c r="M2" s="9">
        <f>AVERAGE(L2:L4)</f>
        <v>0</v>
      </c>
      <c r="O2" s="17"/>
      <c r="P2" s="17"/>
      <c r="Q2" s="17"/>
    </row>
    <row r="3" spans="1:17">
      <c r="A3" s="2" t="s">
        <v>13</v>
      </c>
      <c r="B3" s="5" t="s">
        <v>115</v>
      </c>
      <c r="C3" s="2" t="s">
        <v>116</v>
      </c>
      <c r="D3" s="2" t="s">
        <v>12</v>
      </c>
      <c r="E3" s="1"/>
      <c r="F3" s="2">
        <v>0</v>
      </c>
      <c r="G3" s="3">
        <v>9.4700000000000006E-2</v>
      </c>
      <c r="H3" s="3">
        <v>0.5</v>
      </c>
      <c r="I3" s="3">
        <v>1.64</v>
      </c>
      <c r="J3" s="3">
        <v>1.03</v>
      </c>
      <c r="K3" s="6">
        <f t="shared" ref="K3:K66" si="0">F3*H3/G3</f>
        <v>0</v>
      </c>
      <c r="L3" s="6">
        <f t="shared" ref="L3:L66" si="1">K3*I3/J3</f>
        <v>0</v>
      </c>
      <c r="O3" s="16" t="s">
        <v>117</v>
      </c>
      <c r="P3" s="16" t="s">
        <v>113</v>
      </c>
      <c r="Q3" s="16" t="s">
        <v>118</v>
      </c>
    </row>
    <row r="4" spans="1:17">
      <c r="A4" s="2" t="s">
        <v>14</v>
      </c>
      <c r="B4" s="5" t="s">
        <v>115</v>
      </c>
      <c r="C4" s="2" t="s">
        <v>116</v>
      </c>
      <c r="D4" s="2" t="s">
        <v>12</v>
      </c>
      <c r="E4" s="1"/>
      <c r="F4" s="2">
        <v>0</v>
      </c>
      <c r="G4" s="3">
        <v>9.9199999999999997E-2</v>
      </c>
      <c r="H4" s="3">
        <v>0.5</v>
      </c>
      <c r="I4" s="3">
        <v>1.64</v>
      </c>
      <c r="J4" s="3">
        <v>1.03</v>
      </c>
      <c r="K4" s="6">
        <f t="shared" si="0"/>
        <v>0</v>
      </c>
      <c r="L4" s="6">
        <f t="shared" si="1"/>
        <v>0</v>
      </c>
      <c r="O4" s="17" t="s">
        <v>119</v>
      </c>
      <c r="P4" s="18">
        <f>AVERAGE(M2,M17,M29,M38)</f>
        <v>0</v>
      </c>
      <c r="Q4" s="18">
        <v>0</v>
      </c>
    </row>
    <row r="5" spans="1:17">
      <c r="A5" s="1" t="s">
        <v>15</v>
      </c>
      <c r="B5" s="4" t="s">
        <v>120</v>
      </c>
      <c r="C5" s="1" t="s">
        <v>116</v>
      </c>
      <c r="D5" s="1" t="s">
        <v>12</v>
      </c>
      <c r="E5" s="1"/>
      <c r="F5" s="2">
        <v>0</v>
      </c>
      <c r="G5">
        <v>9.6799999999999997E-2</v>
      </c>
      <c r="H5">
        <v>0.5</v>
      </c>
      <c r="I5">
        <v>1.31</v>
      </c>
      <c r="J5">
        <v>0.99</v>
      </c>
      <c r="K5" s="7">
        <f t="shared" si="0"/>
        <v>0</v>
      </c>
      <c r="L5" s="7">
        <f t="shared" si="1"/>
        <v>0</v>
      </c>
      <c r="M5" s="9">
        <f>AVERAGE(L5:L7)</f>
        <v>0</v>
      </c>
      <c r="O5" s="17" t="s">
        <v>121</v>
      </c>
      <c r="P5" s="18">
        <f>AVERAGE(M8,M23,M32,M47)</f>
        <v>0</v>
      </c>
      <c r="Q5" s="18">
        <f>STDEV(M8,M23,M32,M47)/SQRT(4)</f>
        <v>0</v>
      </c>
    </row>
    <row r="6" spans="1:17">
      <c r="A6" s="1" t="s">
        <v>16</v>
      </c>
      <c r="B6" s="4" t="s">
        <v>120</v>
      </c>
      <c r="C6" s="1" t="s">
        <v>116</v>
      </c>
      <c r="D6" s="1" t="s">
        <v>12</v>
      </c>
      <c r="E6" s="1"/>
      <c r="F6" s="2">
        <v>0</v>
      </c>
      <c r="G6">
        <v>9.7000000000000003E-2</v>
      </c>
      <c r="H6">
        <v>0.5</v>
      </c>
      <c r="I6">
        <v>1.31</v>
      </c>
      <c r="J6">
        <v>0.99</v>
      </c>
      <c r="K6" s="7">
        <f t="shared" si="0"/>
        <v>0</v>
      </c>
      <c r="L6" s="7">
        <f t="shared" si="1"/>
        <v>0</v>
      </c>
      <c r="O6" s="17" t="s">
        <v>122</v>
      </c>
      <c r="P6" s="18">
        <f>AVERAGE(M5,M14,M26,M41)</f>
        <v>0</v>
      </c>
      <c r="Q6" s="18">
        <f>STDEV(M5,M14,M26,M41)/SQRT(4)</f>
        <v>0</v>
      </c>
    </row>
    <row r="7" spans="1:17">
      <c r="A7" s="1" t="s">
        <v>17</v>
      </c>
      <c r="B7" s="4" t="s">
        <v>120</v>
      </c>
      <c r="C7" s="1" t="s">
        <v>116</v>
      </c>
      <c r="D7" s="1" t="s">
        <v>12</v>
      </c>
      <c r="E7" s="1"/>
      <c r="F7" s="2">
        <v>0</v>
      </c>
      <c r="G7">
        <v>0.1004</v>
      </c>
      <c r="H7">
        <v>0.5</v>
      </c>
      <c r="I7">
        <v>1.31</v>
      </c>
      <c r="J7">
        <v>0.99</v>
      </c>
      <c r="K7" s="7">
        <f t="shared" si="0"/>
        <v>0</v>
      </c>
      <c r="L7" s="7">
        <f t="shared" si="1"/>
        <v>0</v>
      </c>
      <c r="O7" s="17" t="s">
        <v>123</v>
      </c>
      <c r="P7" s="18">
        <f>AVERAGE(M11,M20,M35,M44)</f>
        <v>0</v>
      </c>
      <c r="Q7" s="18">
        <f>STDEV(M11,M20,M44,M35)/SQRT(4)</f>
        <v>0</v>
      </c>
    </row>
    <row r="8" spans="1:17">
      <c r="A8" s="2" t="s">
        <v>18</v>
      </c>
      <c r="B8" s="5" t="s">
        <v>124</v>
      </c>
      <c r="C8" s="2" t="s">
        <v>116</v>
      </c>
      <c r="D8" s="2" t="s">
        <v>12</v>
      </c>
      <c r="E8" s="1"/>
      <c r="F8" s="2">
        <v>0</v>
      </c>
      <c r="G8" s="3">
        <v>0.1036</v>
      </c>
      <c r="H8" s="3">
        <v>0.5</v>
      </c>
      <c r="I8" s="3">
        <v>1.56</v>
      </c>
      <c r="J8" s="3">
        <v>1.01</v>
      </c>
      <c r="K8" s="6">
        <f t="shared" si="0"/>
        <v>0</v>
      </c>
      <c r="L8" s="6">
        <f t="shared" si="1"/>
        <v>0</v>
      </c>
      <c r="M8" s="9">
        <f>AVERAGE(L8:L10)</f>
        <v>0</v>
      </c>
      <c r="O8" s="17" t="s">
        <v>125</v>
      </c>
      <c r="P8" s="17"/>
      <c r="Q8" s="17"/>
    </row>
    <row r="9" spans="1:17">
      <c r="A9" s="2" t="s">
        <v>19</v>
      </c>
      <c r="B9" s="5" t="s">
        <v>124</v>
      </c>
      <c r="C9" s="2" t="s">
        <v>116</v>
      </c>
      <c r="D9" s="2" t="s">
        <v>12</v>
      </c>
      <c r="E9" s="1"/>
      <c r="F9" s="2">
        <v>0</v>
      </c>
      <c r="G9" s="3">
        <v>0.10340000000000001</v>
      </c>
      <c r="H9" s="3">
        <v>0.5</v>
      </c>
      <c r="I9" s="3">
        <v>1.56</v>
      </c>
      <c r="J9" s="3">
        <v>1.01</v>
      </c>
      <c r="K9" s="6">
        <f t="shared" si="0"/>
        <v>0</v>
      </c>
      <c r="L9" s="6">
        <f t="shared" si="1"/>
        <v>0</v>
      </c>
      <c r="O9" s="17" t="s">
        <v>119</v>
      </c>
      <c r="P9" s="18">
        <f>AVERAGE(M65,M77,M86)</f>
        <v>14.658050946778474</v>
      </c>
      <c r="Q9" s="18">
        <f>STDEV(M65,M77,M86)/SQRT(3)</f>
        <v>1.6674776115962562</v>
      </c>
    </row>
    <row r="10" spans="1:17">
      <c r="A10" s="2" t="s">
        <v>20</v>
      </c>
      <c r="B10" s="5" t="s">
        <v>124</v>
      </c>
      <c r="C10" s="2" t="s">
        <v>116</v>
      </c>
      <c r="D10" s="2" t="s">
        <v>12</v>
      </c>
      <c r="E10" s="1"/>
      <c r="F10" s="2">
        <v>0</v>
      </c>
      <c r="G10" s="3">
        <v>0.104</v>
      </c>
      <c r="H10" s="3">
        <v>0.5</v>
      </c>
      <c r="I10" s="3">
        <v>1.56</v>
      </c>
      <c r="J10" s="3">
        <v>1.01</v>
      </c>
      <c r="K10" s="6">
        <f t="shared" si="0"/>
        <v>0</v>
      </c>
      <c r="L10" s="6">
        <f t="shared" si="1"/>
        <v>0</v>
      </c>
      <c r="O10" s="17" t="s">
        <v>121</v>
      </c>
      <c r="P10" s="18">
        <f>AVERAGE(M71,M80,M95)</f>
        <v>15.40198472319441</v>
      </c>
      <c r="Q10" s="18">
        <f>STDEV(M71,M80,M95)/SQRT(3)</f>
        <v>0.94895652731022451</v>
      </c>
    </row>
    <row r="11" spans="1:17">
      <c r="A11" s="1" t="s">
        <v>21</v>
      </c>
      <c r="B11" s="4" t="s">
        <v>126</v>
      </c>
      <c r="C11" s="1" t="s">
        <v>116</v>
      </c>
      <c r="D11" s="1" t="s">
        <v>12</v>
      </c>
      <c r="E11" s="1"/>
      <c r="F11" s="2">
        <v>0</v>
      </c>
      <c r="G11">
        <v>0.1004</v>
      </c>
      <c r="H11">
        <v>0.5</v>
      </c>
      <c r="I11">
        <v>1.36</v>
      </c>
      <c r="J11">
        <v>0.97</v>
      </c>
      <c r="K11" s="7">
        <f t="shared" si="0"/>
        <v>0</v>
      </c>
      <c r="L11" s="7">
        <f t="shared" si="1"/>
        <v>0</v>
      </c>
      <c r="M11" s="9">
        <f>AVERAGE(L11:L13)</f>
        <v>0</v>
      </c>
      <c r="O11" s="17" t="s">
        <v>122</v>
      </c>
      <c r="P11" s="18">
        <f>AVERAGE(M62,M74,M89)</f>
        <v>15.952994292424599</v>
      </c>
      <c r="Q11" s="18">
        <f>STDEV(M62,M74,M89)/SQRT(3)</f>
        <v>1.8568803272937557</v>
      </c>
    </row>
    <row r="12" spans="1:17">
      <c r="A12" s="1" t="s">
        <v>22</v>
      </c>
      <c r="B12" s="4" t="s">
        <v>126</v>
      </c>
      <c r="C12" s="1" t="s">
        <v>116</v>
      </c>
      <c r="D12" s="1" t="s">
        <v>12</v>
      </c>
      <c r="E12" s="1"/>
      <c r="F12" s="2">
        <v>0</v>
      </c>
      <c r="G12">
        <v>9.5000000000000001E-2</v>
      </c>
      <c r="H12">
        <v>0.5</v>
      </c>
      <c r="I12">
        <v>1.36</v>
      </c>
      <c r="J12">
        <v>0.97</v>
      </c>
      <c r="K12" s="7">
        <f t="shared" si="0"/>
        <v>0</v>
      </c>
      <c r="L12" s="7">
        <f t="shared" si="1"/>
        <v>0</v>
      </c>
      <c r="O12" s="17" t="s">
        <v>123</v>
      </c>
      <c r="P12" s="18">
        <f>AVERAGE(M59,M68,M83,M92)</f>
        <v>20.084439411010759</v>
      </c>
      <c r="Q12" s="18">
        <f>STDEV(M59,M68,M83,M92)/SQRT(4)</f>
        <v>5.0604263840656714</v>
      </c>
    </row>
    <row r="13" spans="1:17">
      <c r="A13" s="1" t="s">
        <v>23</v>
      </c>
      <c r="B13" s="4" t="s">
        <v>126</v>
      </c>
      <c r="C13" s="1" t="s">
        <v>116</v>
      </c>
      <c r="D13" s="1" t="s">
        <v>12</v>
      </c>
      <c r="F13" s="2">
        <v>0</v>
      </c>
      <c r="G13">
        <v>0.1009</v>
      </c>
      <c r="H13">
        <v>0.5</v>
      </c>
      <c r="I13">
        <v>1.36</v>
      </c>
      <c r="J13">
        <v>0.97</v>
      </c>
      <c r="K13" s="7">
        <f t="shared" si="0"/>
        <v>0</v>
      </c>
      <c r="L13" s="7">
        <f t="shared" si="1"/>
        <v>0</v>
      </c>
    </row>
    <row r="14" spans="1:17">
      <c r="A14" s="2" t="s">
        <v>24</v>
      </c>
      <c r="B14" s="5" t="s">
        <v>127</v>
      </c>
      <c r="C14" s="2" t="s">
        <v>116</v>
      </c>
      <c r="D14" s="2" t="s">
        <v>12</v>
      </c>
      <c r="E14" s="1"/>
      <c r="F14" s="2">
        <v>0</v>
      </c>
      <c r="G14" s="3">
        <v>0.10150000000000001</v>
      </c>
      <c r="H14" s="3">
        <v>0.5</v>
      </c>
      <c r="I14" s="3">
        <v>1.43</v>
      </c>
      <c r="J14" s="3">
        <v>0.97</v>
      </c>
      <c r="K14" s="6">
        <f t="shared" si="0"/>
        <v>0</v>
      </c>
      <c r="L14" s="6">
        <f t="shared" si="1"/>
        <v>0</v>
      </c>
      <c r="M14" s="9">
        <f>AVERAGE(L14:L16)</f>
        <v>0</v>
      </c>
    </row>
    <row r="15" spans="1:17">
      <c r="A15" s="2" t="s">
        <v>25</v>
      </c>
      <c r="B15" s="5" t="s">
        <v>127</v>
      </c>
      <c r="C15" s="2" t="s">
        <v>116</v>
      </c>
      <c r="D15" s="2" t="s">
        <v>12</v>
      </c>
      <c r="E15" s="1"/>
      <c r="F15" s="2">
        <v>0</v>
      </c>
      <c r="G15" s="3">
        <v>9.9299999999999999E-2</v>
      </c>
      <c r="H15" s="3">
        <v>0.5</v>
      </c>
      <c r="I15" s="3">
        <v>1.43</v>
      </c>
      <c r="J15" s="3">
        <v>0.97</v>
      </c>
      <c r="K15" s="6">
        <f t="shared" si="0"/>
        <v>0</v>
      </c>
      <c r="L15" s="6">
        <f t="shared" si="1"/>
        <v>0</v>
      </c>
    </row>
    <row r="16" spans="1:17">
      <c r="A16" s="2" t="s">
        <v>26</v>
      </c>
      <c r="B16" s="5" t="s">
        <v>127</v>
      </c>
      <c r="C16" s="2" t="s">
        <v>116</v>
      </c>
      <c r="D16" s="2" t="s">
        <v>12</v>
      </c>
      <c r="E16" s="1"/>
      <c r="F16" s="2">
        <v>0</v>
      </c>
      <c r="G16" s="3">
        <v>0.10050000000000001</v>
      </c>
      <c r="H16" s="3">
        <v>0.5</v>
      </c>
      <c r="I16" s="3">
        <v>1.43</v>
      </c>
      <c r="J16" s="3">
        <v>0.97</v>
      </c>
      <c r="K16" s="6">
        <f t="shared" si="0"/>
        <v>0</v>
      </c>
      <c r="L16" s="6">
        <f t="shared" si="1"/>
        <v>0</v>
      </c>
    </row>
    <row r="17" spans="1:13">
      <c r="A17" s="1" t="s">
        <v>27</v>
      </c>
      <c r="B17" s="4" t="s">
        <v>128</v>
      </c>
      <c r="C17" s="1" t="s">
        <v>116</v>
      </c>
      <c r="D17" s="1" t="s">
        <v>12</v>
      </c>
      <c r="E17" s="1"/>
      <c r="F17" s="2">
        <v>0</v>
      </c>
      <c r="G17">
        <v>0.10489999999999999</v>
      </c>
      <c r="H17">
        <v>0.5</v>
      </c>
      <c r="I17">
        <v>1.27</v>
      </c>
      <c r="J17">
        <v>0.97</v>
      </c>
      <c r="K17" s="7">
        <f t="shared" si="0"/>
        <v>0</v>
      </c>
      <c r="L17" s="7">
        <f t="shared" si="1"/>
        <v>0</v>
      </c>
      <c r="M17" s="9">
        <f>AVERAGE(L17:L19)</f>
        <v>0</v>
      </c>
    </row>
    <row r="18" spans="1:13">
      <c r="A18" s="1" t="s">
        <v>28</v>
      </c>
      <c r="B18" s="4" t="s">
        <v>128</v>
      </c>
      <c r="C18" s="1" t="s">
        <v>116</v>
      </c>
      <c r="D18" s="1" t="s">
        <v>12</v>
      </c>
      <c r="E18" s="1"/>
      <c r="F18" s="2">
        <v>0</v>
      </c>
      <c r="G18">
        <v>0.1003</v>
      </c>
      <c r="H18">
        <v>0.5</v>
      </c>
      <c r="I18">
        <v>1.27</v>
      </c>
      <c r="J18">
        <v>0.97</v>
      </c>
      <c r="K18" s="7">
        <f t="shared" si="0"/>
        <v>0</v>
      </c>
      <c r="L18" s="7">
        <f t="shared" si="1"/>
        <v>0</v>
      </c>
    </row>
    <row r="19" spans="1:13">
      <c r="A19" s="1" t="s">
        <v>29</v>
      </c>
      <c r="B19" s="4" t="s">
        <v>128</v>
      </c>
      <c r="C19" s="1" t="s">
        <v>116</v>
      </c>
      <c r="D19" s="1" t="s">
        <v>12</v>
      </c>
      <c r="E19" s="1"/>
      <c r="F19" s="2">
        <v>0</v>
      </c>
      <c r="G19">
        <v>0.105</v>
      </c>
      <c r="H19">
        <v>0.5</v>
      </c>
      <c r="I19">
        <v>1.27</v>
      </c>
      <c r="J19">
        <v>0.97</v>
      </c>
      <c r="K19" s="7">
        <f t="shared" si="0"/>
        <v>0</v>
      </c>
      <c r="L19" s="7">
        <f t="shared" si="1"/>
        <v>0</v>
      </c>
    </row>
    <row r="20" spans="1:13">
      <c r="A20" s="2" t="s">
        <v>30</v>
      </c>
      <c r="B20" s="5" t="s">
        <v>129</v>
      </c>
      <c r="C20" s="2" t="s">
        <v>116</v>
      </c>
      <c r="D20" s="2" t="s">
        <v>12</v>
      </c>
      <c r="E20" s="1"/>
      <c r="F20" s="2">
        <v>0</v>
      </c>
      <c r="G20" s="3">
        <v>0.10299999999999999</v>
      </c>
      <c r="H20" s="3">
        <v>0.5</v>
      </c>
      <c r="I20" s="3">
        <v>1.7</v>
      </c>
      <c r="J20" s="3">
        <v>1.02</v>
      </c>
      <c r="K20" s="6">
        <f t="shared" si="0"/>
        <v>0</v>
      </c>
      <c r="L20" s="6">
        <f t="shared" si="1"/>
        <v>0</v>
      </c>
      <c r="M20" s="9">
        <f>AVERAGE(L20:L22)</f>
        <v>0</v>
      </c>
    </row>
    <row r="21" spans="1:13">
      <c r="A21" s="2" t="s">
        <v>31</v>
      </c>
      <c r="B21" s="5" t="s">
        <v>129</v>
      </c>
      <c r="C21" s="2" t="s">
        <v>116</v>
      </c>
      <c r="D21" s="2" t="s">
        <v>12</v>
      </c>
      <c r="E21" s="1"/>
      <c r="F21" s="2">
        <v>0</v>
      </c>
      <c r="G21" s="3">
        <v>0.1021</v>
      </c>
      <c r="H21" s="3">
        <v>0.5</v>
      </c>
      <c r="I21" s="3">
        <v>1.7</v>
      </c>
      <c r="J21" s="3">
        <v>1.02</v>
      </c>
      <c r="K21" s="6">
        <f t="shared" si="0"/>
        <v>0</v>
      </c>
      <c r="L21" s="6">
        <f t="shared" si="1"/>
        <v>0</v>
      </c>
    </row>
    <row r="22" spans="1:13">
      <c r="A22" s="2" t="s">
        <v>32</v>
      </c>
      <c r="B22" s="5" t="s">
        <v>129</v>
      </c>
      <c r="C22" s="2" t="s">
        <v>116</v>
      </c>
      <c r="D22" s="2" t="s">
        <v>12</v>
      </c>
      <c r="E22" s="1"/>
      <c r="F22" s="2">
        <v>0</v>
      </c>
      <c r="G22" s="3">
        <v>0.1048</v>
      </c>
      <c r="H22" s="3">
        <v>0.5</v>
      </c>
      <c r="I22" s="3">
        <v>1.7</v>
      </c>
      <c r="J22" s="3">
        <v>1.02</v>
      </c>
      <c r="K22" s="6">
        <f t="shared" si="0"/>
        <v>0</v>
      </c>
      <c r="L22" s="6">
        <f t="shared" si="1"/>
        <v>0</v>
      </c>
    </row>
    <row r="23" spans="1:13">
      <c r="A23" s="1" t="s">
        <v>33</v>
      </c>
      <c r="B23" s="4" t="s">
        <v>130</v>
      </c>
      <c r="C23" s="1" t="s">
        <v>116</v>
      </c>
      <c r="D23" s="1" t="s">
        <v>12</v>
      </c>
      <c r="E23" s="1"/>
      <c r="F23" s="2">
        <v>0</v>
      </c>
      <c r="G23">
        <v>0.1007</v>
      </c>
      <c r="H23">
        <v>0.5</v>
      </c>
      <c r="I23">
        <v>1.36</v>
      </c>
      <c r="J23">
        <v>0.98</v>
      </c>
      <c r="K23" s="7">
        <f t="shared" si="0"/>
        <v>0</v>
      </c>
      <c r="L23" s="7">
        <f t="shared" si="1"/>
        <v>0</v>
      </c>
      <c r="M23" s="9">
        <f>AVERAGE(L23:L25)</f>
        <v>0</v>
      </c>
    </row>
    <row r="24" spans="1:13">
      <c r="A24" s="1" t="s">
        <v>34</v>
      </c>
      <c r="B24" s="4" t="s">
        <v>130</v>
      </c>
      <c r="C24" s="1" t="s">
        <v>116</v>
      </c>
      <c r="D24" s="1" t="s">
        <v>12</v>
      </c>
      <c r="E24" s="1"/>
      <c r="F24" s="2">
        <v>0</v>
      </c>
      <c r="G24">
        <v>9.6000000000000002E-2</v>
      </c>
      <c r="H24">
        <v>0.5</v>
      </c>
      <c r="I24">
        <v>1.36</v>
      </c>
      <c r="J24">
        <v>0.98</v>
      </c>
      <c r="K24" s="7">
        <f t="shared" si="0"/>
        <v>0</v>
      </c>
      <c r="L24" s="7">
        <f t="shared" si="1"/>
        <v>0</v>
      </c>
    </row>
    <row r="25" spans="1:13">
      <c r="A25" s="1" t="s">
        <v>35</v>
      </c>
      <c r="B25" s="4" t="s">
        <v>130</v>
      </c>
      <c r="C25" s="1" t="s">
        <v>116</v>
      </c>
      <c r="D25" s="1" t="s">
        <v>12</v>
      </c>
      <c r="E25" s="1"/>
      <c r="F25" s="2">
        <v>0</v>
      </c>
      <c r="G25">
        <v>0.1012</v>
      </c>
      <c r="H25">
        <v>0.5</v>
      </c>
      <c r="I25">
        <v>1.36</v>
      </c>
      <c r="J25">
        <v>0.98</v>
      </c>
      <c r="K25" s="7">
        <f t="shared" si="0"/>
        <v>0</v>
      </c>
      <c r="L25" s="7">
        <f t="shared" si="1"/>
        <v>0</v>
      </c>
    </row>
    <row r="26" spans="1:13">
      <c r="A26" s="2" t="s">
        <v>36</v>
      </c>
      <c r="B26" s="5" t="s">
        <v>131</v>
      </c>
      <c r="C26" s="2" t="s">
        <v>116</v>
      </c>
      <c r="D26" s="2" t="s">
        <v>12</v>
      </c>
      <c r="E26" s="1"/>
      <c r="F26" s="2">
        <v>0</v>
      </c>
      <c r="G26" s="3">
        <v>9.5100000000000004E-2</v>
      </c>
      <c r="H26" s="3">
        <v>0.5</v>
      </c>
      <c r="I26" s="3">
        <v>1.25</v>
      </c>
      <c r="J26" s="3">
        <v>0.95</v>
      </c>
      <c r="K26" s="6">
        <f t="shared" si="0"/>
        <v>0</v>
      </c>
      <c r="L26" s="6">
        <f t="shared" si="1"/>
        <v>0</v>
      </c>
      <c r="M26" s="9">
        <f>AVERAGE(L26:L28)</f>
        <v>0</v>
      </c>
    </row>
    <row r="27" spans="1:13">
      <c r="A27" s="2" t="s">
        <v>37</v>
      </c>
      <c r="B27" s="5" t="s">
        <v>131</v>
      </c>
      <c r="C27" s="2" t="s">
        <v>116</v>
      </c>
      <c r="D27" s="2" t="s">
        <v>12</v>
      </c>
      <c r="E27" s="1"/>
      <c r="F27" s="2">
        <v>0</v>
      </c>
      <c r="G27" s="3">
        <v>9.8699999999999996E-2</v>
      </c>
      <c r="H27" s="3">
        <v>0.5</v>
      </c>
      <c r="I27" s="3">
        <v>1.25</v>
      </c>
      <c r="J27" s="3">
        <v>0.95</v>
      </c>
      <c r="K27" s="6">
        <f t="shared" si="0"/>
        <v>0</v>
      </c>
      <c r="L27" s="6">
        <f t="shared" si="1"/>
        <v>0</v>
      </c>
    </row>
    <row r="28" spans="1:13">
      <c r="A28" s="2" t="s">
        <v>38</v>
      </c>
      <c r="B28" s="5" t="s">
        <v>131</v>
      </c>
      <c r="C28" s="2" t="s">
        <v>116</v>
      </c>
      <c r="D28" s="2" t="s">
        <v>12</v>
      </c>
      <c r="E28" s="1"/>
      <c r="F28" s="2">
        <v>0</v>
      </c>
      <c r="G28" s="3">
        <v>0.10199999999999999</v>
      </c>
      <c r="H28" s="3">
        <v>0.5</v>
      </c>
      <c r="I28" s="3">
        <v>1.25</v>
      </c>
      <c r="J28" s="3">
        <v>0.95</v>
      </c>
      <c r="K28" s="6">
        <f t="shared" si="0"/>
        <v>0</v>
      </c>
      <c r="L28" s="6">
        <f t="shared" si="1"/>
        <v>0</v>
      </c>
    </row>
    <row r="29" spans="1:13">
      <c r="A29" s="1" t="s">
        <v>39</v>
      </c>
      <c r="B29" s="4" t="s">
        <v>132</v>
      </c>
      <c r="C29" s="1" t="s">
        <v>116</v>
      </c>
      <c r="D29" s="1" t="s">
        <v>12</v>
      </c>
      <c r="E29" s="1"/>
      <c r="F29" s="2">
        <v>0</v>
      </c>
      <c r="G29">
        <v>0.10390000000000001</v>
      </c>
      <c r="H29">
        <v>0.5</v>
      </c>
      <c r="I29">
        <v>1.49</v>
      </c>
      <c r="J29">
        <v>1.01</v>
      </c>
      <c r="K29" s="7">
        <f t="shared" si="0"/>
        <v>0</v>
      </c>
      <c r="L29" s="7">
        <f t="shared" si="1"/>
        <v>0</v>
      </c>
      <c r="M29" s="9">
        <f>AVERAGE(L29:L31)</f>
        <v>0</v>
      </c>
    </row>
    <row r="30" spans="1:13">
      <c r="A30" s="1" t="s">
        <v>40</v>
      </c>
      <c r="B30" s="4" t="s">
        <v>132</v>
      </c>
      <c r="C30" s="1" t="s">
        <v>116</v>
      </c>
      <c r="D30" s="1" t="s">
        <v>12</v>
      </c>
      <c r="E30" s="1"/>
      <c r="F30" s="2">
        <v>0</v>
      </c>
      <c r="G30">
        <v>9.69E-2</v>
      </c>
      <c r="H30">
        <v>0.5</v>
      </c>
      <c r="I30">
        <v>1.49</v>
      </c>
      <c r="J30">
        <v>1.01</v>
      </c>
      <c r="K30" s="7">
        <f t="shared" si="0"/>
        <v>0</v>
      </c>
      <c r="L30" s="7">
        <f t="shared" si="1"/>
        <v>0</v>
      </c>
    </row>
    <row r="31" spans="1:13">
      <c r="A31" s="1" t="s">
        <v>41</v>
      </c>
      <c r="B31" s="4" t="s">
        <v>132</v>
      </c>
      <c r="C31" s="1" t="s">
        <v>116</v>
      </c>
      <c r="D31" s="1" t="s">
        <v>12</v>
      </c>
      <c r="E31" s="1"/>
      <c r="F31" s="2">
        <v>0</v>
      </c>
      <c r="G31">
        <v>9.98E-2</v>
      </c>
      <c r="H31">
        <v>0.5</v>
      </c>
      <c r="I31">
        <v>1.49</v>
      </c>
      <c r="J31">
        <v>1.01</v>
      </c>
      <c r="K31" s="7">
        <f t="shared" si="0"/>
        <v>0</v>
      </c>
      <c r="L31" s="7">
        <f t="shared" si="1"/>
        <v>0</v>
      </c>
    </row>
    <row r="32" spans="1:13">
      <c r="A32" s="2" t="s">
        <v>42</v>
      </c>
      <c r="B32" s="5" t="s">
        <v>133</v>
      </c>
      <c r="C32" s="2" t="s">
        <v>116</v>
      </c>
      <c r="D32" s="2" t="s">
        <v>12</v>
      </c>
      <c r="E32" s="1"/>
      <c r="F32" s="2">
        <v>0</v>
      </c>
      <c r="G32" s="3">
        <v>9.9900000000000003E-2</v>
      </c>
      <c r="H32" s="3">
        <v>0.5</v>
      </c>
      <c r="I32" s="3">
        <v>1.43</v>
      </c>
      <c r="J32" s="3">
        <v>0.97</v>
      </c>
      <c r="K32" s="6">
        <f t="shared" si="0"/>
        <v>0</v>
      </c>
      <c r="L32" s="6">
        <f t="shared" si="1"/>
        <v>0</v>
      </c>
      <c r="M32" s="9">
        <f>AVERAGE(L32:L34)</f>
        <v>0</v>
      </c>
    </row>
    <row r="33" spans="1:13">
      <c r="A33" s="2" t="s">
        <v>43</v>
      </c>
      <c r="B33" s="5" t="s">
        <v>133</v>
      </c>
      <c r="C33" s="2" t="s">
        <v>116</v>
      </c>
      <c r="D33" s="2" t="s">
        <v>12</v>
      </c>
      <c r="E33" s="1"/>
      <c r="F33" s="2">
        <v>0</v>
      </c>
      <c r="G33" s="3">
        <v>9.5000000000000001E-2</v>
      </c>
      <c r="H33" s="3">
        <v>0.5</v>
      </c>
      <c r="I33" s="3">
        <v>1.43</v>
      </c>
      <c r="J33" s="3">
        <v>0.97</v>
      </c>
      <c r="K33" s="6">
        <f t="shared" si="0"/>
        <v>0</v>
      </c>
      <c r="L33" s="6">
        <f t="shared" si="1"/>
        <v>0</v>
      </c>
    </row>
    <row r="34" spans="1:13">
      <c r="A34" s="2" t="s">
        <v>44</v>
      </c>
      <c r="B34" s="5" t="s">
        <v>133</v>
      </c>
      <c r="C34" s="2" t="s">
        <v>116</v>
      </c>
      <c r="D34" s="2" t="s">
        <v>12</v>
      </c>
      <c r="E34" s="1"/>
      <c r="F34" s="2">
        <v>0</v>
      </c>
      <c r="G34" s="3">
        <v>0.99099999999999999</v>
      </c>
      <c r="H34" s="3">
        <v>0.5</v>
      </c>
      <c r="I34" s="3">
        <v>1.43</v>
      </c>
      <c r="J34" s="3">
        <v>0.97</v>
      </c>
      <c r="K34" s="6">
        <f t="shared" si="0"/>
        <v>0</v>
      </c>
      <c r="L34" s="6">
        <f t="shared" si="1"/>
        <v>0</v>
      </c>
    </row>
    <row r="35" spans="1:13">
      <c r="A35" s="1" t="s">
        <v>45</v>
      </c>
      <c r="B35" s="4" t="s">
        <v>134</v>
      </c>
      <c r="C35" s="1" t="s">
        <v>116</v>
      </c>
      <c r="D35" s="1" t="s">
        <v>12</v>
      </c>
      <c r="E35" s="1"/>
      <c r="F35" s="2">
        <v>0</v>
      </c>
      <c r="G35">
        <v>0.1037</v>
      </c>
      <c r="H35">
        <v>0.5</v>
      </c>
      <c r="I35">
        <v>1.27</v>
      </c>
      <c r="J35">
        <v>0.94</v>
      </c>
      <c r="K35" s="7">
        <f t="shared" si="0"/>
        <v>0</v>
      </c>
      <c r="L35" s="7">
        <f t="shared" si="1"/>
        <v>0</v>
      </c>
      <c r="M35" s="9">
        <f>AVERAGE(L35:L37)</f>
        <v>0</v>
      </c>
    </row>
    <row r="36" spans="1:13">
      <c r="A36" s="1" t="s">
        <v>46</v>
      </c>
      <c r="B36" s="4" t="s">
        <v>134</v>
      </c>
      <c r="C36" s="1" t="s">
        <v>116</v>
      </c>
      <c r="D36" s="1" t="s">
        <v>12</v>
      </c>
      <c r="E36" s="1"/>
      <c r="F36" s="2">
        <v>0</v>
      </c>
      <c r="G36">
        <v>0.1024</v>
      </c>
      <c r="H36">
        <v>0.5</v>
      </c>
      <c r="I36">
        <v>1.27</v>
      </c>
      <c r="J36">
        <v>0.94</v>
      </c>
      <c r="K36" s="7">
        <f t="shared" si="0"/>
        <v>0</v>
      </c>
      <c r="L36" s="7">
        <f t="shared" si="1"/>
        <v>0</v>
      </c>
    </row>
    <row r="37" spans="1:13">
      <c r="A37" s="1" t="s">
        <v>47</v>
      </c>
      <c r="B37" s="4" t="s">
        <v>134</v>
      </c>
      <c r="C37" s="1" t="s">
        <v>116</v>
      </c>
      <c r="D37" s="1" t="s">
        <v>12</v>
      </c>
      <c r="E37" s="1"/>
      <c r="F37" s="2">
        <v>0</v>
      </c>
      <c r="G37">
        <v>9.7600000000000006E-2</v>
      </c>
      <c r="H37">
        <v>0.5</v>
      </c>
      <c r="I37">
        <v>1.27</v>
      </c>
      <c r="J37">
        <v>0.94</v>
      </c>
      <c r="K37" s="7">
        <f t="shared" si="0"/>
        <v>0</v>
      </c>
      <c r="L37" s="7">
        <f t="shared" si="1"/>
        <v>0</v>
      </c>
    </row>
    <row r="38" spans="1:13">
      <c r="A38" s="2" t="s">
        <v>48</v>
      </c>
      <c r="B38" s="5" t="s">
        <v>135</v>
      </c>
      <c r="C38" s="2" t="s">
        <v>116</v>
      </c>
      <c r="D38" s="2" t="s">
        <v>12</v>
      </c>
      <c r="E38" s="1"/>
      <c r="F38" s="2">
        <v>0</v>
      </c>
      <c r="G38" s="3">
        <v>9.9500000000000005E-2</v>
      </c>
      <c r="H38" s="3">
        <v>0.5</v>
      </c>
      <c r="I38" s="3">
        <v>1.35</v>
      </c>
      <c r="J38" s="3">
        <v>0.98</v>
      </c>
      <c r="K38" s="6">
        <f t="shared" si="0"/>
        <v>0</v>
      </c>
      <c r="L38" s="6">
        <f t="shared" si="1"/>
        <v>0</v>
      </c>
      <c r="M38" s="9">
        <f>AVERAGE(L38:L40)</f>
        <v>0</v>
      </c>
    </row>
    <row r="39" spans="1:13">
      <c r="A39" s="2" t="s">
        <v>49</v>
      </c>
      <c r="B39" s="5" t="s">
        <v>135</v>
      </c>
      <c r="C39" s="2" t="s">
        <v>116</v>
      </c>
      <c r="D39" s="2" t="s">
        <v>12</v>
      </c>
      <c r="E39" s="1"/>
      <c r="F39" s="2">
        <v>0</v>
      </c>
      <c r="G39" s="3">
        <v>0.1028</v>
      </c>
      <c r="H39" s="3">
        <v>0.5</v>
      </c>
      <c r="I39" s="3">
        <v>1.35</v>
      </c>
      <c r="J39" s="3">
        <v>0.98</v>
      </c>
      <c r="K39" s="6">
        <f t="shared" si="0"/>
        <v>0</v>
      </c>
      <c r="L39" s="6">
        <f t="shared" si="1"/>
        <v>0</v>
      </c>
    </row>
    <row r="40" spans="1:13">
      <c r="A40" s="2" t="s">
        <v>50</v>
      </c>
      <c r="B40" s="5" t="s">
        <v>135</v>
      </c>
      <c r="C40" s="2" t="s">
        <v>116</v>
      </c>
      <c r="D40" s="2" t="s">
        <v>12</v>
      </c>
      <c r="E40" s="1"/>
      <c r="F40" s="2">
        <v>0</v>
      </c>
      <c r="G40" s="3">
        <v>0.106</v>
      </c>
      <c r="H40" s="3">
        <v>0.5</v>
      </c>
      <c r="I40" s="3">
        <v>1.35</v>
      </c>
      <c r="J40" s="3">
        <v>0.98</v>
      </c>
      <c r="K40" s="6">
        <f t="shared" si="0"/>
        <v>0</v>
      </c>
      <c r="L40" s="6">
        <f t="shared" si="1"/>
        <v>0</v>
      </c>
    </row>
    <row r="41" spans="1:13">
      <c r="A41" s="1" t="s">
        <v>51</v>
      </c>
      <c r="B41" s="4" t="s">
        <v>136</v>
      </c>
      <c r="C41" s="1" t="s">
        <v>116</v>
      </c>
      <c r="D41" s="1" t="s">
        <v>12</v>
      </c>
      <c r="E41" s="1"/>
      <c r="F41" s="2">
        <v>0</v>
      </c>
      <c r="G41">
        <v>0.1002</v>
      </c>
      <c r="H41">
        <v>0.5</v>
      </c>
      <c r="I41">
        <v>1.46</v>
      </c>
      <c r="J41">
        <v>0.97</v>
      </c>
      <c r="K41" s="7">
        <f t="shared" si="0"/>
        <v>0</v>
      </c>
      <c r="L41" s="7">
        <f t="shared" si="1"/>
        <v>0</v>
      </c>
      <c r="M41" s="9">
        <f>AVERAGE(L41:L43)</f>
        <v>0</v>
      </c>
    </row>
    <row r="42" spans="1:13">
      <c r="A42" s="1" t="s">
        <v>52</v>
      </c>
      <c r="B42" s="4" t="s">
        <v>136</v>
      </c>
      <c r="C42" s="1" t="s">
        <v>116</v>
      </c>
      <c r="D42" s="1" t="s">
        <v>12</v>
      </c>
      <c r="E42" s="1"/>
      <c r="F42" s="2">
        <v>0</v>
      </c>
      <c r="G42">
        <v>0.1013</v>
      </c>
      <c r="H42">
        <v>0.5</v>
      </c>
      <c r="I42">
        <v>1.46</v>
      </c>
      <c r="J42">
        <v>0.97</v>
      </c>
      <c r="K42" s="7">
        <f t="shared" si="0"/>
        <v>0</v>
      </c>
      <c r="L42" s="7">
        <f t="shared" si="1"/>
        <v>0</v>
      </c>
    </row>
    <row r="43" spans="1:13">
      <c r="A43" s="1" t="s">
        <v>53</v>
      </c>
      <c r="B43" s="4" t="s">
        <v>136</v>
      </c>
      <c r="C43" s="1" t="s">
        <v>116</v>
      </c>
      <c r="D43" s="1" t="s">
        <v>12</v>
      </c>
      <c r="E43" s="1"/>
      <c r="F43" s="2">
        <v>0</v>
      </c>
      <c r="G43">
        <v>0.10059999999999999</v>
      </c>
      <c r="H43">
        <v>0.5</v>
      </c>
      <c r="I43">
        <v>1.46</v>
      </c>
      <c r="J43">
        <v>0.97</v>
      </c>
      <c r="K43" s="7">
        <f t="shared" si="0"/>
        <v>0</v>
      </c>
      <c r="L43" s="7">
        <f t="shared" si="1"/>
        <v>0</v>
      </c>
    </row>
    <row r="44" spans="1:13">
      <c r="A44" s="2" t="s">
        <v>54</v>
      </c>
      <c r="B44" s="5" t="s">
        <v>137</v>
      </c>
      <c r="C44" s="2" t="s">
        <v>116</v>
      </c>
      <c r="D44" s="2" t="s">
        <v>12</v>
      </c>
      <c r="E44" s="1"/>
      <c r="F44" s="2">
        <v>0</v>
      </c>
      <c r="G44" s="3">
        <v>9.9000000000000005E-2</v>
      </c>
      <c r="H44" s="3">
        <v>0.5</v>
      </c>
      <c r="I44" s="3">
        <v>1.1499999999999999</v>
      </c>
      <c r="J44" s="3">
        <v>0.92</v>
      </c>
      <c r="K44" s="6">
        <f t="shared" si="0"/>
        <v>0</v>
      </c>
      <c r="L44" s="6">
        <f t="shared" si="1"/>
        <v>0</v>
      </c>
      <c r="M44" s="9">
        <f>AVERAGE(L44:L46)</f>
        <v>0</v>
      </c>
    </row>
    <row r="45" spans="1:13">
      <c r="A45" s="2" t="s">
        <v>55</v>
      </c>
      <c r="B45" s="5" t="s">
        <v>137</v>
      </c>
      <c r="C45" s="2" t="s">
        <v>116</v>
      </c>
      <c r="D45" s="2" t="s">
        <v>12</v>
      </c>
      <c r="E45" s="1"/>
      <c r="F45" s="2">
        <v>0</v>
      </c>
      <c r="G45" s="3">
        <v>0.1</v>
      </c>
      <c r="H45" s="3">
        <v>0.5</v>
      </c>
      <c r="I45" s="3">
        <v>1.1499999999999999</v>
      </c>
      <c r="J45" s="3">
        <v>0.92</v>
      </c>
      <c r="K45" s="6">
        <f t="shared" si="0"/>
        <v>0</v>
      </c>
      <c r="L45" s="6">
        <f t="shared" si="1"/>
        <v>0</v>
      </c>
    </row>
    <row r="46" spans="1:13">
      <c r="A46" s="2" t="s">
        <v>56</v>
      </c>
      <c r="B46" s="5" t="s">
        <v>137</v>
      </c>
      <c r="C46" s="2" t="s">
        <v>116</v>
      </c>
      <c r="D46" s="2" t="s">
        <v>12</v>
      </c>
      <c r="E46" s="1"/>
      <c r="F46" s="2">
        <v>0</v>
      </c>
      <c r="G46" s="3">
        <v>0.10150000000000001</v>
      </c>
      <c r="H46" s="3">
        <v>0.5</v>
      </c>
      <c r="I46" s="3">
        <v>1.1499999999999999</v>
      </c>
      <c r="J46" s="3">
        <v>0.92</v>
      </c>
      <c r="K46" s="6">
        <f t="shared" si="0"/>
        <v>0</v>
      </c>
      <c r="L46" s="6">
        <f t="shared" si="1"/>
        <v>0</v>
      </c>
    </row>
    <row r="47" spans="1:13">
      <c r="A47" s="1" t="s">
        <v>57</v>
      </c>
      <c r="B47" s="4" t="s">
        <v>138</v>
      </c>
      <c r="C47" s="1" t="s">
        <v>116</v>
      </c>
      <c r="D47" s="1" t="s">
        <v>12</v>
      </c>
      <c r="E47" s="1"/>
      <c r="F47" s="2">
        <v>0</v>
      </c>
      <c r="G47">
        <v>9.8699999999999996E-2</v>
      </c>
      <c r="H47">
        <v>0.5</v>
      </c>
      <c r="I47">
        <v>1.41</v>
      </c>
      <c r="J47">
        <v>0.98</v>
      </c>
      <c r="K47" s="7">
        <f t="shared" si="0"/>
        <v>0</v>
      </c>
      <c r="L47" s="7">
        <f t="shared" si="1"/>
        <v>0</v>
      </c>
      <c r="M47" s="9">
        <f>AVERAGE(L47:L49)</f>
        <v>0</v>
      </c>
    </row>
    <row r="48" spans="1:13">
      <c r="A48" s="1" t="s">
        <v>58</v>
      </c>
      <c r="B48" s="4" t="s">
        <v>138</v>
      </c>
      <c r="C48" s="1" t="s">
        <v>116</v>
      </c>
      <c r="D48" s="1" t="s">
        <v>12</v>
      </c>
      <c r="E48" s="1"/>
      <c r="F48" s="2">
        <v>0</v>
      </c>
      <c r="G48">
        <v>9.6000000000000002E-2</v>
      </c>
      <c r="H48">
        <v>0.5</v>
      </c>
      <c r="I48">
        <v>1.41</v>
      </c>
      <c r="J48">
        <v>0.98</v>
      </c>
      <c r="K48" s="7">
        <f t="shared" si="0"/>
        <v>0</v>
      </c>
      <c r="L48" s="7">
        <f t="shared" si="1"/>
        <v>0</v>
      </c>
    </row>
    <row r="49" spans="1:15">
      <c r="A49" s="1" t="s">
        <v>59</v>
      </c>
      <c r="B49" s="4" t="s">
        <v>138</v>
      </c>
      <c r="C49" s="1" t="s">
        <v>116</v>
      </c>
      <c r="D49" s="1" t="s">
        <v>12</v>
      </c>
      <c r="E49" s="1"/>
      <c r="F49" s="2">
        <v>0</v>
      </c>
      <c r="G49">
        <v>0.1026</v>
      </c>
      <c r="H49">
        <v>0.5</v>
      </c>
      <c r="I49">
        <v>1.41</v>
      </c>
      <c r="J49">
        <v>0.98</v>
      </c>
      <c r="K49" s="7">
        <f t="shared" si="0"/>
        <v>0</v>
      </c>
      <c r="L49" s="7">
        <f t="shared" si="1"/>
        <v>0</v>
      </c>
    </row>
    <row r="50" spans="1:15">
      <c r="A50" s="2" t="s">
        <v>60</v>
      </c>
      <c r="B50" s="5" t="s">
        <v>115</v>
      </c>
      <c r="C50" s="2" t="s">
        <v>139</v>
      </c>
      <c r="D50" s="2" t="s">
        <v>12</v>
      </c>
      <c r="E50" s="1">
        <v>27405.725007682402</v>
      </c>
      <c r="F50" s="2">
        <f t="shared" ref="F50:F66" si="2">(E50+15677)/43895</f>
        <v>0.98149504516875263</v>
      </c>
      <c r="G50" s="3">
        <v>0.1017</v>
      </c>
      <c r="H50" s="3">
        <v>0.5</v>
      </c>
      <c r="I50" s="3">
        <v>1.42</v>
      </c>
      <c r="J50" s="3">
        <v>1</v>
      </c>
      <c r="K50" s="6">
        <f t="shared" si="0"/>
        <v>4.8254426999447029</v>
      </c>
      <c r="L50" s="6">
        <f t="shared" si="1"/>
        <v>6.8521286339214775</v>
      </c>
      <c r="M50" s="20">
        <f>AVERAGE(L50:L52)</f>
        <v>6.8635413391819311</v>
      </c>
      <c r="O50" t="s">
        <v>145</v>
      </c>
    </row>
    <row r="51" spans="1:15">
      <c r="A51" s="2" t="s">
        <v>61</v>
      </c>
      <c r="B51" s="5" t="s">
        <v>115</v>
      </c>
      <c r="C51" s="2" t="s">
        <v>139</v>
      </c>
      <c r="D51" s="2" t="s">
        <v>12</v>
      </c>
      <c r="E51" s="1">
        <v>33440.047476112399</v>
      </c>
      <c r="F51" s="2">
        <f t="shared" si="2"/>
        <v>1.1189667952184166</v>
      </c>
      <c r="G51" s="3">
        <v>0.1052</v>
      </c>
      <c r="H51" s="3">
        <v>0.5</v>
      </c>
      <c r="I51" s="3">
        <v>1.42</v>
      </c>
      <c r="J51" s="3">
        <v>1</v>
      </c>
      <c r="K51" s="6">
        <f t="shared" si="0"/>
        <v>5.3182832472358204</v>
      </c>
      <c r="L51" s="6">
        <f t="shared" si="1"/>
        <v>7.5519622110748648</v>
      </c>
    </row>
    <row r="52" spans="1:15">
      <c r="A52" s="2" t="s">
        <v>62</v>
      </c>
      <c r="B52" s="5" t="s">
        <v>115</v>
      </c>
      <c r="C52" s="2" t="s">
        <v>139</v>
      </c>
      <c r="D52" s="2" t="s">
        <v>12</v>
      </c>
      <c r="E52" s="1">
        <v>23488.529940236</v>
      </c>
      <c r="F52" s="2">
        <f t="shared" si="2"/>
        <v>0.89225492516769556</v>
      </c>
      <c r="G52" s="3">
        <v>0.1024</v>
      </c>
      <c r="H52" s="3">
        <v>0.5</v>
      </c>
      <c r="I52" s="3">
        <v>1.42</v>
      </c>
      <c r="J52" s="3">
        <v>1</v>
      </c>
      <c r="K52" s="6">
        <f t="shared" si="0"/>
        <v>4.3567135017953884</v>
      </c>
      <c r="L52" s="6">
        <f t="shared" si="1"/>
        <v>6.186533172549451</v>
      </c>
    </row>
    <row r="53" spans="1:15">
      <c r="A53" s="1" t="s">
        <v>63</v>
      </c>
      <c r="B53" s="4" t="s">
        <v>120</v>
      </c>
      <c r="C53" s="1" t="s">
        <v>139</v>
      </c>
      <c r="D53" s="1" t="s">
        <v>12</v>
      </c>
      <c r="E53" s="1">
        <v>31896.660209444701</v>
      </c>
      <c r="F53" s="2">
        <f t="shared" si="2"/>
        <v>1.0838059052157354</v>
      </c>
      <c r="G53">
        <v>0.1004</v>
      </c>
      <c r="H53">
        <v>0.5</v>
      </c>
      <c r="I53">
        <v>1.6</v>
      </c>
      <c r="J53">
        <v>1.02</v>
      </c>
      <c r="K53" s="7">
        <f t="shared" si="0"/>
        <v>5.397439767010634</v>
      </c>
      <c r="L53" s="7">
        <f t="shared" si="1"/>
        <v>8.4665721835460932</v>
      </c>
      <c r="M53" s="20">
        <f>AVERAGE(L53:L55)</f>
        <v>8.0538002671761397</v>
      </c>
    </row>
    <row r="54" spans="1:15">
      <c r="A54" s="1" t="s">
        <v>64</v>
      </c>
      <c r="B54" s="4" t="s">
        <v>120</v>
      </c>
      <c r="C54" s="1" t="s">
        <v>139</v>
      </c>
      <c r="D54" s="1" t="s">
        <v>12</v>
      </c>
      <c r="E54" s="1">
        <v>27647.3499533656</v>
      </c>
      <c r="F54" s="2">
        <f t="shared" si="2"/>
        <v>0.98699965721302196</v>
      </c>
      <c r="G54">
        <v>9.6799999999999997E-2</v>
      </c>
      <c r="H54">
        <v>0.5</v>
      </c>
      <c r="I54">
        <v>1.6</v>
      </c>
      <c r="J54">
        <v>1.02</v>
      </c>
      <c r="K54" s="7">
        <f t="shared" si="0"/>
        <v>5.0981387252738743</v>
      </c>
      <c r="L54" s="7">
        <f t="shared" si="1"/>
        <v>7.9970803533707828</v>
      </c>
    </row>
    <row r="55" spans="1:15">
      <c r="A55" s="1" t="s">
        <v>65</v>
      </c>
      <c r="B55" s="4" t="s">
        <v>120</v>
      </c>
      <c r="C55" s="1" t="s">
        <v>139</v>
      </c>
      <c r="D55" s="1" t="s">
        <v>12</v>
      </c>
      <c r="E55" s="1">
        <v>29730.705124195501</v>
      </c>
      <c r="F55" s="2">
        <f t="shared" si="2"/>
        <v>1.0344619005398223</v>
      </c>
      <c r="G55">
        <v>0.10539999999999999</v>
      </c>
      <c r="H55">
        <v>0.5</v>
      </c>
      <c r="I55">
        <v>1.6</v>
      </c>
      <c r="J55">
        <v>1.02</v>
      </c>
      <c r="K55" s="7">
        <f t="shared" si="0"/>
        <v>4.9073145186898595</v>
      </c>
      <c r="L55" s="7">
        <f t="shared" si="1"/>
        <v>7.6977482646115449</v>
      </c>
    </row>
    <row r="56" spans="1:15">
      <c r="A56" s="2" t="s">
        <v>2</v>
      </c>
      <c r="B56" s="5" t="s">
        <v>124</v>
      </c>
      <c r="C56" s="2" t="s">
        <v>139</v>
      </c>
      <c r="D56" s="2" t="s">
        <v>12</v>
      </c>
      <c r="E56" s="1">
        <v>34302.4424231218</v>
      </c>
      <c r="F56" s="2">
        <f t="shared" si="2"/>
        <v>1.1386135647140176</v>
      </c>
      <c r="G56" s="3">
        <v>9.7900000000000001E-2</v>
      </c>
      <c r="H56" s="3">
        <v>0.5</v>
      </c>
      <c r="I56" s="3">
        <v>1.5</v>
      </c>
      <c r="J56" s="3">
        <v>0.98</v>
      </c>
      <c r="K56" s="6">
        <f t="shared" si="0"/>
        <v>5.8151867452197017</v>
      </c>
      <c r="L56" s="6">
        <f t="shared" si="1"/>
        <v>8.9007960386015839</v>
      </c>
      <c r="M56" s="20">
        <f>AVERAGE(L56:L58)</f>
        <v>8.8119356564897657</v>
      </c>
    </row>
    <row r="57" spans="1:15">
      <c r="A57" s="2" t="s">
        <v>2</v>
      </c>
      <c r="B57" s="5" t="s">
        <v>124</v>
      </c>
      <c r="C57" s="2" t="s">
        <v>139</v>
      </c>
      <c r="D57" s="2" t="s">
        <v>12</v>
      </c>
      <c r="E57" s="1">
        <v>34302.4424231218</v>
      </c>
      <c r="F57" s="2">
        <f t="shared" si="2"/>
        <v>1.1386135647140176</v>
      </c>
      <c r="G57" s="3">
        <v>0.10009999999999999</v>
      </c>
      <c r="H57" s="3">
        <v>0.5</v>
      </c>
      <c r="I57" s="3">
        <v>1.5</v>
      </c>
      <c r="J57" s="3">
        <v>0.98</v>
      </c>
      <c r="K57" s="6">
        <f t="shared" si="0"/>
        <v>5.6873804431269619</v>
      </c>
      <c r="L57" s="6">
        <f t="shared" si="1"/>
        <v>8.7051741476433087</v>
      </c>
    </row>
    <row r="58" spans="1:15">
      <c r="A58" s="2" t="s">
        <v>66</v>
      </c>
      <c r="B58" s="5" t="s">
        <v>124</v>
      </c>
      <c r="C58" s="2" t="s">
        <v>139</v>
      </c>
      <c r="D58" s="2" t="s">
        <v>12</v>
      </c>
      <c r="E58" s="1">
        <v>35980.420176719395</v>
      </c>
      <c r="F58" s="2">
        <f t="shared" si="2"/>
        <v>1.1768406464681489</v>
      </c>
      <c r="G58" s="3">
        <v>0.10199999999999999</v>
      </c>
      <c r="H58" s="3">
        <v>0.5</v>
      </c>
      <c r="I58" s="3">
        <v>1.5</v>
      </c>
      <c r="J58" s="3">
        <v>0.98</v>
      </c>
      <c r="K58" s="6">
        <f t="shared" si="0"/>
        <v>5.768826698373279</v>
      </c>
      <c r="L58" s="6">
        <f t="shared" si="1"/>
        <v>8.8298367832244065</v>
      </c>
    </row>
    <row r="59" spans="1:15">
      <c r="A59" s="1" t="s">
        <v>67</v>
      </c>
      <c r="B59" s="4" t="s">
        <v>126</v>
      </c>
      <c r="C59" s="1" t="s">
        <v>139</v>
      </c>
      <c r="D59" s="1" t="s">
        <v>12</v>
      </c>
      <c r="E59" s="1">
        <v>32837.632572711496</v>
      </c>
      <c r="F59" s="2">
        <f t="shared" si="2"/>
        <v>1.1052427969634695</v>
      </c>
      <c r="G59">
        <v>1.035E-2</v>
      </c>
      <c r="H59">
        <v>0.5</v>
      </c>
      <c r="I59">
        <v>1.37</v>
      </c>
      <c r="J59">
        <v>0.98</v>
      </c>
      <c r="K59" s="7">
        <f t="shared" si="0"/>
        <v>53.393371833984034</v>
      </c>
      <c r="L59" s="7">
        <f t="shared" si="1"/>
        <v>74.64175450261034</v>
      </c>
      <c r="M59" s="9">
        <f>AVERAGE(L59:L61)</f>
        <v>33.086387408961869</v>
      </c>
    </row>
    <row r="60" spans="1:15">
      <c r="A60" s="1" t="s">
        <v>68</v>
      </c>
      <c r="B60" s="4" t="s">
        <v>126</v>
      </c>
      <c r="C60" s="1" t="s">
        <v>139</v>
      </c>
      <c r="D60" s="1" t="s">
        <v>12</v>
      </c>
      <c r="E60" s="1">
        <v>40667.825228109803</v>
      </c>
      <c r="F60" s="2">
        <f t="shared" si="2"/>
        <v>1.2836274115072286</v>
      </c>
      <c r="G60">
        <v>0.1012</v>
      </c>
      <c r="H60">
        <v>0.5</v>
      </c>
      <c r="I60">
        <v>1.37</v>
      </c>
      <c r="J60">
        <v>0.98</v>
      </c>
      <c r="K60" s="7">
        <f t="shared" si="0"/>
        <v>6.3420326655495485</v>
      </c>
      <c r="L60" s="7">
        <f t="shared" si="1"/>
        <v>8.865902807962124</v>
      </c>
    </row>
    <row r="61" spans="1:15">
      <c r="A61" s="1" t="s">
        <v>5</v>
      </c>
      <c r="B61" s="4" t="s">
        <v>126</v>
      </c>
      <c r="C61" s="1" t="s">
        <v>139</v>
      </c>
      <c r="D61" s="1" t="s">
        <v>12</v>
      </c>
      <c r="E61" s="1">
        <v>87988.415637669998</v>
      </c>
      <c r="F61" s="2">
        <f t="shared" si="2"/>
        <v>2.3616679721533202</v>
      </c>
      <c r="G61">
        <v>0.1048</v>
      </c>
      <c r="H61">
        <v>0.5</v>
      </c>
      <c r="I61">
        <v>1.37</v>
      </c>
      <c r="J61">
        <v>0.98</v>
      </c>
      <c r="K61" s="7">
        <f t="shared" si="0"/>
        <v>11.267499867143703</v>
      </c>
      <c r="L61" s="7">
        <f t="shared" si="1"/>
        <v>15.751504916313138</v>
      </c>
    </row>
    <row r="62" spans="1:15">
      <c r="A62" s="2" t="s">
        <v>4</v>
      </c>
      <c r="B62" s="5" t="s">
        <v>127</v>
      </c>
      <c r="C62" s="2" t="s">
        <v>139</v>
      </c>
      <c r="D62" s="2" t="s">
        <v>12</v>
      </c>
      <c r="E62" s="1">
        <v>95074.990442228504</v>
      </c>
      <c r="F62" s="2">
        <f t="shared" si="2"/>
        <v>2.5231117540090784</v>
      </c>
      <c r="G62" s="3">
        <v>0.1019</v>
      </c>
      <c r="H62" s="3">
        <v>0.5</v>
      </c>
      <c r="I62" s="3">
        <v>1.51</v>
      </c>
      <c r="J62" s="3">
        <v>1.03</v>
      </c>
      <c r="K62" s="6">
        <f t="shared" si="0"/>
        <v>12.380332453430217</v>
      </c>
      <c r="L62" s="6">
        <f t="shared" si="1"/>
        <v>18.14980777153362</v>
      </c>
      <c r="M62" s="9">
        <f>AVERAGE(L62:L64)</f>
        <v>16.028974151510415</v>
      </c>
    </row>
    <row r="63" spans="1:15">
      <c r="A63" s="2" t="s">
        <v>6</v>
      </c>
      <c r="B63" s="5" t="s">
        <v>127</v>
      </c>
      <c r="C63" s="2" t="s">
        <v>139</v>
      </c>
      <c r="D63" s="2" t="s">
        <v>12</v>
      </c>
      <c r="E63" s="1">
        <v>87988.415637669998</v>
      </c>
      <c r="F63" s="2">
        <f t="shared" si="2"/>
        <v>2.3616679721533202</v>
      </c>
      <c r="G63" s="3">
        <v>0.1036</v>
      </c>
      <c r="H63" s="3">
        <v>0.5</v>
      </c>
      <c r="I63" s="3">
        <v>1.51</v>
      </c>
      <c r="J63" s="3">
        <v>1.03</v>
      </c>
      <c r="K63" s="6">
        <f t="shared" si="0"/>
        <v>11.39801144861641</v>
      </c>
      <c r="L63" s="6">
        <f t="shared" si="1"/>
        <v>16.709706104282311</v>
      </c>
    </row>
    <row r="64" spans="1:15">
      <c r="A64" s="2" t="s">
        <v>7</v>
      </c>
      <c r="B64" s="5" t="s">
        <v>127</v>
      </c>
      <c r="C64" s="2" t="s">
        <v>139</v>
      </c>
      <c r="D64" s="2" t="s">
        <v>12</v>
      </c>
      <c r="E64" s="1">
        <v>66701.415503519602</v>
      </c>
      <c r="F64" s="2">
        <f t="shared" si="2"/>
        <v>1.8767152409960042</v>
      </c>
      <c r="G64" s="3">
        <v>0.104</v>
      </c>
      <c r="H64" s="3">
        <v>0.5</v>
      </c>
      <c r="I64" s="3">
        <v>1.51</v>
      </c>
      <c r="J64" s="3">
        <v>1.03</v>
      </c>
      <c r="K64" s="6">
        <f t="shared" si="0"/>
        <v>9.0226694278654058</v>
      </c>
      <c r="L64" s="6">
        <f t="shared" si="1"/>
        <v>13.227408578715304</v>
      </c>
    </row>
    <row r="65" spans="1:13">
      <c r="A65" s="1" t="s">
        <v>69</v>
      </c>
      <c r="B65" s="4" t="s">
        <v>128</v>
      </c>
      <c r="C65" s="1" t="s">
        <v>139</v>
      </c>
      <c r="D65" s="1" t="s">
        <v>12</v>
      </c>
      <c r="E65" s="1">
        <v>68927.565135793804</v>
      </c>
      <c r="F65" s="2">
        <f t="shared" si="2"/>
        <v>1.9274305760518009</v>
      </c>
      <c r="G65">
        <v>0.1028</v>
      </c>
      <c r="H65">
        <v>0.5</v>
      </c>
      <c r="I65">
        <v>1.51</v>
      </c>
      <c r="J65">
        <v>1</v>
      </c>
      <c r="K65" s="7">
        <f t="shared" si="0"/>
        <v>9.3746623348823004</v>
      </c>
      <c r="L65" s="7">
        <f t="shared" si="1"/>
        <v>14.155740125672274</v>
      </c>
      <c r="M65" s="9">
        <f>AVERAGE(L65:L67)</f>
        <v>11.566988465328462</v>
      </c>
    </row>
    <row r="66" spans="1:13">
      <c r="A66" s="1" t="s">
        <v>70</v>
      </c>
      <c r="B66" s="4" t="s">
        <v>128</v>
      </c>
      <c r="C66" s="1" t="s">
        <v>139</v>
      </c>
      <c r="D66" s="1" t="s">
        <v>12</v>
      </c>
      <c r="E66" s="1">
        <v>66962.1901911678</v>
      </c>
      <c r="F66" s="2">
        <f t="shared" si="2"/>
        <v>1.882656115529509</v>
      </c>
      <c r="G66">
        <v>0.10440000000000001</v>
      </c>
      <c r="H66">
        <v>0.5</v>
      </c>
      <c r="I66">
        <v>1.51</v>
      </c>
      <c r="J66">
        <v>1</v>
      </c>
      <c r="K66" s="7">
        <f t="shared" si="0"/>
        <v>9.0165522774401765</v>
      </c>
      <c r="L66" s="7">
        <f t="shared" si="1"/>
        <v>13.614993938934667</v>
      </c>
    </row>
    <row r="67" spans="1:13">
      <c r="A67" s="1" t="s">
        <v>8</v>
      </c>
      <c r="B67" s="4" t="s">
        <v>128</v>
      </c>
      <c r="C67" s="1" t="s">
        <v>139</v>
      </c>
      <c r="D67" s="1" t="s">
        <v>12</v>
      </c>
      <c r="E67" s="1">
        <v>24453.555532939499</v>
      </c>
      <c r="F67" s="2">
        <f t="shared" ref="F67:F97" si="3">(E67+15677)/43895</f>
        <v>0.9142397888811824</v>
      </c>
      <c r="G67">
        <v>9.9599999999999994E-2</v>
      </c>
      <c r="H67">
        <v>0.5</v>
      </c>
      <c r="I67">
        <v>1.51</v>
      </c>
      <c r="J67">
        <v>1</v>
      </c>
      <c r="K67" s="7">
        <f t="shared" ref="K67:K97" si="4">F67*H67/G67</f>
        <v>4.5895571730983056</v>
      </c>
      <c r="L67" s="7">
        <f t="shared" ref="L67:L97" si="5">K67*I67/J67</f>
        <v>6.9302313313784412</v>
      </c>
    </row>
    <row r="68" spans="1:13">
      <c r="A68" s="2" t="s">
        <v>9</v>
      </c>
      <c r="B68" s="5" t="s">
        <v>129</v>
      </c>
      <c r="C68" s="2" t="s">
        <v>139</v>
      </c>
      <c r="D68" s="2" t="s">
        <v>12</v>
      </c>
      <c r="E68" s="1">
        <v>87429.069173106502</v>
      </c>
      <c r="F68" s="2">
        <f t="shared" si="3"/>
        <v>2.3489251434811824</v>
      </c>
      <c r="G68" s="3">
        <v>0.104</v>
      </c>
      <c r="H68" s="3">
        <v>0.5</v>
      </c>
      <c r="I68" s="3">
        <v>1.39</v>
      </c>
      <c r="J68" s="3">
        <v>0.99</v>
      </c>
      <c r="K68" s="6">
        <f t="shared" si="4"/>
        <v>11.292909343659531</v>
      </c>
      <c r="L68" s="6">
        <f t="shared" si="5"/>
        <v>15.855700997663382</v>
      </c>
      <c r="M68" s="9">
        <f>AVERAGE(L68:L70)</f>
        <v>14.785736887884063</v>
      </c>
    </row>
    <row r="69" spans="1:13">
      <c r="A69" s="2" t="s">
        <v>10</v>
      </c>
      <c r="B69" s="5" t="s">
        <v>129</v>
      </c>
      <c r="C69" s="2" t="s">
        <v>139</v>
      </c>
      <c r="D69" s="2" t="s">
        <v>12</v>
      </c>
      <c r="E69" s="1">
        <v>77531.358667218403</v>
      </c>
      <c r="F69" s="2">
        <f t="shared" si="3"/>
        <v>2.1234390857094976</v>
      </c>
      <c r="G69" s="3">
        <v>0.1014</v>
      </c>
      <c r="H69" s="3">
        <v>0.5</v>
      </c>
      <c r="I69" s="3">
        <v>1.39</v>
      </c>
      <c r="J69" s="3">
        <v>0.99</v>
      </c>
      <c r="K69" s="6">
        <f t="shared" si="4"/>
        <v>10.470606931506397</v>
      </c>
      <c r="L69" s="6">
        <f t="shared" si="5"/>
        <v>14.701155186660497</v>
      </c>
    </row>
    <row r="70" spans="1:13">
      <c r="A70" s="2" t="s">
        <v>71</v>
      </c>
      <c r="B70" s="5" t="s">
        <v>129</v>
      </c>
      <c r="C70" s="2" t="s">
        <v>139</v>
      </c>
      <c r="D70" s="2" t="s">
        <v>12</v>
      </c>
      <c r="E70" s="1">
        <v>70094.315238242692</v>
      </c>
      <c r="F70" s="2">
        <f t="shared" si="3"/>
        <v>1.9540110545219886</v>
      </c>
      <c r="G70" s="3">
        <v>9.9400000000000002E-2</v>
      </c>
      <c r="H70" s="3">
        <v>0.5</v>
      </c>
      <c r="I70" s="3">
        <v>1.39</v>
      </c>
      <c r="J70" s="3">
        <v>0.99</v>
      </c>
      <c r="K70" s="6">
        <f t="shared" si="4"/>
        <v>9.8290294493057768</v>
      </c>
      <c r="L70" s="6">
        <f t="shared" si="5"/>
        <v>13.800354479328313</v>
      </c>
    </row>
    <row r="71" spans="1:13">
      <c r="A71" s="1" t="s">
        <v>72</v>
      </c>
      <c r="B71" s="4" t="s">
        <v>130</v>
      </c>
      <c r="C71" s="1" t="s">
        <v>139</v>
      </c>
      <c r="D71" s="1" t="s">
        <v>12</v>
      </c>
      <c r="E71" s="1">
        <v>73576.390135013993</v>
      </c>
      <c r="F71" s="2">
        <f t="shared" si="3"/>
        <v>2.0333384243083263</v>
      </c>
      <c r="G71">
        <v>0.1038</v>
      </c>
      <c r="H71">
        <v>0.5</v>
      </c>
      <c r="I71">
        <v>1.66</v>
      </c>
      <c r="J71">
        <v>1.02</v>
      </c>
      <c r="K71" s="7">
        <f t="shared" si="4"/>
        <v>9.7945010804832666</v>
      </c>
      <c r="L71" s="7">
        <f t="shared" si="5"/>
        <v>15.94007038588453</v>
      </c>
      <c r="M71" s="9">
        <f>AVERAGE(L71:L73)</f>
        <v>17.233788563474757</v>
      </c>
    </row>
    <row r="72" spans="1:13">
      <c r="A72" s="1" t="s">
        <v>73</v>
      </c>
      <c r="B72" s="4" t="s">
        <v>130</v>
      </c>
      <c r="C72" s="1" t="s">
        <v>139</v>
      </c>
      <c r="D72" s="1" t="s">
        <v>12</v>
      </c>
      <c r="E72" s="1">
        <v>67250.561089647192</v>
      </c>
      <c r="F72" s="2">
        <f t="shared" si="3"/>
        <v>1.8892256769483355</v>
      </c>
      <c r="G72">
        <v>9.6799999999999997E-2</v>
      </c>
      <c r="H72">
        <v>0.5</v>
      </c>
      <c r="I72">
        <v>1.66</v>
      </c>
      <c r="J72">
        <v>1.02</v>
      </c>
      <c r="K72" s="7">
        <f t="shared" si="4"/>
        <v>9.7583970916752865</v>
      </c>
      <c r="L72" s="7">
        <f t="shared" si="5"/>
        <v>15.881312913902915</v>
      </c>
    </row>
    <row r="73" spans="1:13">
      <c r="A73" s="1" t="s">
        <v>74</v>
      </c>
      <c r="B73" s="4" t="s">
        <v>130</v>
      </c>
      <c r="C73" s="1" t="s">
        <v>139</v>
      </c>
      <c r="D73" s="1" t="s">
        <v>12</v>
      </c>
      <c r="E73" s="1">
        <v>94564.7865732434</v>
      </c>
      <c r="F73" s="2">
        <f t="shared" si="3"/>
        <v>2.5114884741597767</v>
      </c>
      <c r="G73">
        <v>0.1028</v>
      </c>
      <c r="H73">
        <v>0.5</v>
      </c>
      <c r="I73">
        <v>1.66</v>
      </c>
      <c r="J73">
        <v>1.02</v>
      </c>
      <c r="K73" s="7">
        <f t="shared" si="4"/>
        <v>12.215410866535878</v>
      </c>
      <c r="L73" s="7">
        <f t="shared" si="5"/>
        <v>19.879982390636819</v>
      </c>
    </row>
    <row r="74" spans="1:13">
      <c r="A74" s="2" t="s">
        <v>75</v>
      </c>
      <c r="B74" s="5" t="s">
        <v>131</v>
      </c>
      <c r="C74" s="2" t="s">
        <v>139</v>
      </c>
      <c r="D74" s="2" t="s">
        <v>12</v>
      </c>
      <c r="E74" s="1">
        <v>95794.303203419506</v>
      </c>
      <c r="F74" s="2">
        <f t="shared" si="3"/>
        <v>2.5394988769431484</v>
      </c>
      <c r="G74" s="3">
        <v>0.10340000000000001</v>
      </c>
      <c r="H74" s="3">
        <v>0.5</v>
      </c>
      <c r="I74" s="3">
        <v>1.5</v>
      </c>
      <c r="J74" s="3">
        <v>1</v>
      </c>
      <c r="K74" s="6">
        <f t="shared" si="4"/>
        <v>12.279975226997815</v>
      </c>
      <c r="L74" s="6">
        <f t="shared" si="5"/>
        <v>18.419962840496723</v>
      </c>
      <c r="M74" s="9">
        <f>AVERAGE(L74:L76)</f>
        <v>19.13054225652122</v>
      </c>
    </row>
    <row r="75" spans="1:13">
      <c r="A75" s="2" t="s">
        <v>76</v>
      </c>
      <c r="B75" s="5" t="s">
        <v>131</v>
      </c>
      <c r="C75" s="2" t="s">
        <v>139</v>
      </c>
      <c r="D75" s="2" t="s">
        <v>12</v>
      </c>
      <c r="E75" s="1">
        <v>103165.32408863801</v>
      </c>
      <c r="F75" s="2">
        <f t="shared" si="3"/>
        <v>2.7074228064389567</v>
      </c>
      <c r="G75" s="3">
        <v>9.9400000000000002E-2</v>
      </c>
      <c r="H75" s="3">
        <v>0.5</v>
      </c>
      <c r="I75" s="3">
        <v>1.5</v>
      </c>
      <c r="J75" s="3">
        <v>1</v>
      </c>
      <c r="K75" s="6">
        <f t="shared" si="4"/>
        <v>13.618826994159742</v>
      </c>
      <c r="L75" s="6">
        <f t="shared" si="5"/>
        <v>20.428240491239613</v>
      </c>
    </row>
    <row r="76" spans="1:13">
      <c r="A76" s="2" t="s">
        <v>77</v>
      </c>
      <c r="B76" s="5" t="s">
        <v>131</v>
      </c>
      <c r="C76" s="2" t="s">
        <v>139</v>
      </c>
      <c r="D76" s="2" t="s">
        <v>12</v>
      </c>
      <c r="E76" s="1">
        <v>94153.817955342893</v>
      </c>
      <c r="F76" s="2">
        <f t="shared" si="3"/>
        <v>2.5021259358775008</v>
      </c>
      <c r="G76" s="3">
        <v>0.1012</v>
      </c>
      <c r="H76" s="3">
        <v>0.5</v>
      </c>
      <c r="I76" s="3">
        <v>1.5</v>
      </c>
      <c r="J76" s="3">
        <v>1</v>
      </c>
      <c r="K76" s="6">
        <f t="shared" si="4"/>
        <v>12.362282291884885</v>
      </c>
      <c r="L76" s="6">
        <f t="shared" si="5"/>
        <v>18.543423437827329</v>
      </c>
    </row>
    <row r="77" spans="1:13">
      <c r="A77" s="1" t="s">
        <v>78</v>
      </c>
      <c r="B77" s="4" t="s">
        <v>132</v>
      </c>
      <c r="C77" s="1" t="s">
        <v>139</v>
      </c>
      <c r="D77" s="1" t="s">
        <v>12</v>
      </c>
      <c r="E77" s="1">
        <v>95984.235278485896</v>
      </c>
      <c r="F77" s="2">
        <f t="shared" si="3"/>
        <v>2.5438258407218566</v>
      </c>
      <c r="G77">
        <v>0.1024</v>
      </c>
      <c r="H77">
        <v>0.5</v>
      </c>
      <c r="I77">
        <v>1.49</v>
      </c>
      <c r="J77">
        <v>1.02</v>
      </c>
      <c r="K77" s="7">
        <f t="shared" si="4"/>
        <v>12.421024612899689</v>
      </c>
      <c r="L77" s="7">
        <f t="shared" si="5"/>
        <v>18.144437914922094</v>
      </c>
      <c r="M77" s="9">
        <f>AVERAGE(L77:L79)</f>
        <v>15.119403093740221</v>
      </c>
    </row>
    <row r="78" spans="1:13">
      <c r="A78" s="1" t="s">
        <v>141</v>
      </c>
      <c r="B78" s="4" t="s">
        <v>132</v>
      </c>
      <c r="C78" s="1"/>
      <c r="D78" s="1" t="s">
        <v>142</v>
      </c>
      <c r="E78" s="1">
        <v>100111.181109329</v>
      </c>
      <c r="F78" s="2">
        <f t="shared" si="3"/>
        <v>2.6378444266847931</v>
      </c>
      <c r="G78">
        <v>9.4299999999999995E-2</v>
      </c>
      <c r="H78">
        <v>0.5</v>
      </c>
      <c r="I78">
        <v>1.49</v>
      </c>
      <c r="J78">
        <v>1.02</v>
      </c>
      <c r="K78" s="7" t="s">
        <v>142</v>
      </c>
      <c r="L78" s="7" t="s">
        <v>142</v>
      </c>
    </row>
    <row r="79" spans="1:13">
      <c r="A79" s="1" t="s">
        <v>79</v>
      </c>
      <c r="B79" s="4" t="s">
        <v>132</v>
      </c>
      <c r="C79" s="1" t="s">
        <v>139</v>
      </c>
      <c r="D79" s="1" t="s">
        <v>12</v>
      </c>
      <c r="E79" s="1">
        <v>56280.710311157498</v>
      </c>
      <c r="F79" s="2">
        <f t="shared" si="3"/>
        <v>1.6393145076012643</v>
      </c>
      <c r="G79">
        <v>9.9000000000000005E-2</v>
      </c>
      <c r="H79">
        <v>0.5</v>
      </c>
      <c r="I79">
        <v>1.49</v>
      </c>
      <c r="J79">
        <v>1.02</v>
      </c>
      <c r="K79" s="7">
        <f t="shared" si="4"/>
        <v>8.2793662000063843</v>
      </c>
      <c r="L79" s="7">
        <f t="shared" si="5"/>
        <v>12.094368272558347</v>
      </c>
    </row>
    <row r="80" spans="1:13">
      <c r="A80" s="2" t="s">
        <v>80</v>
      </c>
      <c r="B80" s="5" t="s">
        <v>133</v>
      </c>
      <c r="C80" s="2" t="s">
        <v>139</v>
      </c>
      <c r="D80" s="2" t="s">
        <v>12</v>
      </c>
      <c r="E80" s="1">
        <v>72728.176105186692</v>
      </c>
      <c r="F80" s="2">
        <f t="shared" si="3"/>
        <v>2.0140147193344728</v>
      </c>
      <c r="G80" s="3">
        <v>0.10100000000000001</v>
      </c>
      <c r="H80" s="3">
        <v>0.5</v>
      </c>
      <c r="I80" s="3">
        <v>1.55</v>
      </c>
      <c r="J80" s="3">
        <v>1.01</v>
      </c>
      <c r="K80" s="6">
        <f t="shared" si="4"/>
        <v>9.9703698976954094</v>
      </c>
      <c r="L80" s="6">
        <f t="shared" si="5"/>
        <v>15.301062714285035</v>
      </c>
      <c r="M80" s="9">
        <f>AVERAGE(L80:L82)</f>
        <v>14.056052001570583</v>
      </c>
    </row>
    <row r="81" spans="1:13">
      <c r="A81" s="2" t="s">
        <v>81</v>
      </c>
      <c r="B81" s="5" t="s">
        <v>133</v>
      </c>
      <c r="C81" s="2" t="s">
        <v>139</v>
      </c>
      <c r="D81" s="2" t="s">
        <v>12</v>
      </c>
      <c r="E81" s="1">
        <v>105342.85822301601</v>
      </c>
      <c r="F81" s="2">
        <f t="shared" si="3"/>
        <v>2.7570306008205039</v>
      </c>
      <c r="G81" s="3">
        <v>9.8699999999999996E-2</v>
      </c>
      <c r="H81" s="3">
        <v>0.5</v>
      </c>
      <c r="I81" s="3">
        <v>1.55</v>
      </c>
      <c r="J81" s="3">
        <v>1.01</v>
      </c>
      <c r="K81" s="6">
        <f t="shared" si="4"/>
        <v>13.966720368898196</v>
      </c>
      <c r="L81" s="6">
        <f t="shared" si="5"/>
        <v>21.434075813655646</v>
      </c>
    </row>
    <row r="82" spans="1:13">
      <c r="A82" s="2" t="s">
        <v>82</v>
      </c>
      <c r="B82" s="5" t="s">
        <v>133</v>
      </c>
      <c r="C82" s="2" t="s">
        <v>139</v>
      </c>
      <c r="D82" s="2" t="s">
        <v>12</v>
      </c>
      <c r="E82" s="1">
        <v>16210.6994088473</v>
      </c>
      <c r="F82" s="2">
        <f t="shared" si="3"/>
        <v>0.72645402457790864</v>
      </c>
      <c r="G82" s="3">
        <v>0.1026</v>
      </c>
      <c r="H82" s="3">
        <v>0.5</v>
      </c>
      <c r="I82" s="3">
        <v>1.55</v>
      </c>
      <c r="J82" s="3">
        <v>1.01</v>
      </c>
      <c r="K82" s="6">
        <f t="shared" si="4"/>
        <v>3.5402242913153446</v>
      </c>
      <c r="L82" s="6">
        <f t="shared" si="5"/>
        <v>5.4330174767710737</v>
      </c>
    </row>
    <row r="83" spans="1:13">
      <c r="A83" s="1" t="s">
        <v>83</v>
      </c>
      <c r="B83" s="4" t="s">
        <v>134</v>
      </c>
      <c r="C83" s="1" t="s">
        <v>139</v>
      </c>
      <c r="D83" s="1" t="s">
        <v>12</v>
      </c>
      <c r="E83" s="1">
        <v>118835.76359294</v>
      </c>
      <c r="F83" s="2">
        <f t="shared" si="3"/>
        <v>3.0644210865232941</v>
      </c>
      <c r="G83">
        <v>9.98E-2</v>
      </c>
      <c r="H83">
        <v>0.5</v>
      </c>
      <c r="I83">
        <v>1.41</v>
      </c>
      <c r="J83">
        <v>0.98</v>
      </c>
      <c r="K83" s="7">
        <f t="shared" si="4"/>
        <v>15.352811054725922</v>
      </c>
      <c r="L83" s="7">
        <f t="shared" si="5"/>
        <v>22.089248558330155</v>
      </c>
      <c r="M83" s="9">
        <f>AVERAGE(L83:L85)</f>
        <v>22.577030047605621</v>
      </c>
    </row>
    <row r="84" spans="1:13">
      <c r="A84" s="1" t="s">
        <v>84</v>
      </c>
      <c r="B84" s="4" t="s">
        <v>134</v>
      </c>
      <c r="C84" s="1" t="s">
        <v>139</v>
      </c>
      <c r="D84" s="1" t="s">
        <v>12</v>
      </c>
      <c r="E84" s="1">
        <v>114803.10239164</v>
      </c>
      <c r="F84" s="2">
        <f t="shared" si="3"/>
        <v>2.9725504588595513</v>
      </c>
      <c r="G84">
        <v>9.7100000000000006E-2</v>
      </c>
      <c r="H84">
        <v>0.5</v>
      </c>
      <c r="I84">
        <v>1.41</v>
      </c>
      <c r="J84">
        <v>0.98</v>
      </c>
      <c r="K84" s="7">
        <f t="shared" si="4"/>
        <v>15.306644999276783</v>
      </c>
      <c r="L84" s="7">
        <f t="shared" si="5"/>
        <v>22.022825968347206</v>
      </c>
    </row>
    <row r="85" spans="1:13">
      <c r="A85" s="1" t="s">
        <v>85</v>
      </c>
      <c r="B85" s="4" t="s">
        <v>134</v>
      </c>
      <c r="C85" s="1" t="s">
        <v>139</v>
      </c>
      <c r="D85" s="1" t="s">
        <v>12</v>
      </c>
      <c r="E85" s="1">
        <v>132186.56271407401</v>
      </c>
      <c r="F85" s="2">
        <f t="shared" si="3"/>
        <v>3.368574159108646</v>
      </c>
      <c r="G85">
        <v>0.1026</v>
      </c>
      <c r="H85">
        <v>0.5</v>
      </c>
      <c r="I85">
        <v>1.41</v>
      </c>
      <c r="J85">
        <v>0.98</v>
      </c>
      <c r="K85" s="7">
        <f t="shared" si="4"/>
        <v>16.416053406962213</v>
      </c>
      <c r="L85" s="7">
        <f t="shared" si="5"/>
        <v>23.61901561613951</v>
      </c>
    </row>
    <row r="86" spans="1:13">
      <c r="A86" s="2" t="s">
        <v>86</v>
      </c>
      <c r="B86" s="5" t="s">
        <v>135</v>
      </c>
      <c r="C86" s="2" t="s">
        <v>139</v>
      </c>
      <c r="D86" s="2" t="s">
        <v>12</v>
      </c>
      <c r="E86" s="1">
        <v>82958.8168528143</v>
      </c>
      <c r="F86" s="2">
        <f t="shared" si="3"/>
        <v>2.247085473352644</v>
      </c>
      <c r="G86" s="3">
        <v>9.6600000000000005E-2</v>
      </c>
      <c r="H86" s="3">
        <v>0.5</v>
      </c>
      <c r="I86" s="3">
        <v>1.61</v>
      </c>
      <c r="J86" s="3">
        <v>1.02</v>
      </c>
      <c r="K86" s="6">
        <f t="shared" si="4"/>
        <v>11.630877191266272</v>
      </c>
      <c r="L86" s="6">
        <f t="shared" si="5"/>
        <v>18.358541448959507</v>
      </c>
      <c r="M86" s="9">
        <f>AVERAGE(L86:L88)</f>
        <v>17.287761281266739</v>
      </c>
    </row>
    <row r="87" spans="1:13">
      <c r="A87" s="2" t="s">
        <v>87</v>
      </c>
      <c r="B87" s="5" t="s">
        <v>135</v>
      </c>
      <c r="C87" s="2" t="s">
        <v>139</v>
      </c>
      <c r="D87" s="2" t="s">
        <v>12</v>
      </c>
      <c r="E87" s="1">
        <v>67936.1803277461</v>
      </c>
      <c r="F87" s="2">
        <f t="shared" si="3"/>
        <v>1.9048452062363845</v>
      </c>
      <c r="G87" s="3">
        <v>0.1045</v>
      </c>
      <c r="H87" s="3">
        <v>0.5</v>
      </c>
      <c r="I87" s="3">
        <v>1.61</v>
      </c>
      <c r="J87" s="3">
        <v>1.02</v>
      </c>
      <c r="K87" s="6">
        <f t="shared" si="4"/>
        <v>9.1140918958678689</v>
      </c>
      <c r="L87" s="6">
        <f t="shared" si="5"/>
        <v>14.385968580732618</v>
      </c>
    </row>
    <row r="88" spans="1:13">
      <c r="A88" s="2" t="s">
        <v>88</v>
      </c>
      <c r="B88" s="5" t="s">
        <v>135</v>
      </c>
      <c r="C88" s="2" t="s">
        <v>139</v>
      </c>
      <c r="D88" s="2" t="s">
        <v>12</v>
      </c>
      <c r="E88" s="1">
        <v>91934.799189925514</v>
      </c>
      <c r="F88" s="2">
        <f t="shared" si="3"/>
        <v>2.4515730536490605</v>
      </c>
      <c r="G88" s="3">
        <v>0.1012</v>
      </c>
      <c r="H88" s="3">
        <v>0.5</v>
      </c>
      <c r="I88" s="3">
        <v>1.61</v>
      </c>
      <c r="J88" s="3">
        <v>1.02</v>
      </c>
      <c r="K88" s="6">
        <f t="shared" si="4"/>
        <v>12.112515087198917</v>
      </c>
      <c r="L88" s="6">
        <f t="shared" si="5"/>
        <v>19.118773814108092</v>
      </c>
    </row>
    <row r="89" spans="1:13">
      <c r="A89" s="1" t="s">
        <v>89</v>
      </c>
      <c r="B89" s="4" t="s">
        <v>136</v>
      </c>
      <c r="C89" s="1" t="s">
        <v>139</v>
      </c>
      <c r="D89" s="1" t="s">
        <v>12</v>
      </c>
      <c r="E89" s="1">
        <v>74595.069828984299</v>
      </c>
      <c r="F89" s="2">
        <f t="shared" si="3"/>
        <v>2.056545616334077</v>
      </c>
      <c r="G89">
        <v>9.98E-2</v>
      </c>
      <c r="H89">
        <v>0.5</v>
      </c>
      <c r="I89">
        <v>1.18</v>
      </c>
      <c r="J89">
        <v>0.97</v>
      </c>
      <c r="K89" s="7">
        <f t="shared" si="4"/>
        <v>10.303334751172731</v>
      </c>
      <c r="L89" s="7">
        <f t="shared" si="5"/>
        <v>12.533953614828683</v>
      </c>
      <c r="M89" s="9">
        <f>AVERAGE(L89:L91)</f>
        <v>12.699466469242159</v>
      </c>
    </row>
    <row r="90" spans="1:13">
      <c r="A90" s="1" t="s">
        <v>90</v>
      </c>
      <c r="B90" s="4" t="s">
        <v>136</v>
      </c>
      <c r="C90" s="1" t="s">
        <v>139</v>
      </c>
      <c r="D90" s="1" t="s">
        <v>12</v>
      </c>
      <c r="E90" s="1">
        <v>67129.062650292602</v>
      </c>
      <c r="F90" s="2">
        <f t="shared" si="3"/>
        <v>1.8864577434854222</v>
      </c>
      <c r="G90">
        <v>9.7199999999999995E-2</v>
      </c>
      <c r="H90">
        <v>0.5</v>
      </c>
      <c r="I90">
        <v>1.18</v>
      </c>
      <c r="J90">
        <v>0.97</v>
      </c>
      <c r="K90" s="7">
        <f t="shared" si="4"/>
        <v>9.7040007380937361</v>
      </c>
      <c r="L90" s="7">
        <f t="shared" si="5"/>
        <v>11.804866877268669</v>
      </c>
    </row>
    <row r="91" spans="1:13">
      <c r="A91" s="1" t="s">
        <v>91</v>
      </c>
      <c r="B91" s="4" t="s">
        <v>136</v>
      </c>
      <c r="C91" s="1" t="s">
        <v>139</v>
      </c>
      <c r="D91" s="1" t="s">
        <v>12</v>
      </c>
      <c r="E91" s="1">
        <v>80344.037340894894</v>
      </c>
      <c r="F91" s="2">
        <f t="shared" si="3"/>
        <v>2.1875165130628749</v>
      </c>
      <c r="G91">
        <v>9.6699999999999994E-2</v>
      </c>
      <c r="H91">
        <v>0.5</v>
      </c>
      <c r="I91">
        <v>1.18</v>
      </c>
      <c r="J91">
        <v>0.97</v>
      </c>
      <c r="K91" s="7">
        <f t="shared" si="4"/>
        <v>11.31084029505106</v>
      </c>
      <c r="L91" s="7">
        <f t="shared" si="5"/>
        <v>13.759578915629124</v>
      </c>
    </row>
    <row r="92" spans="1:13">
      <c r="A92" s="2" t="s">
        <v>92</v>
      </c>
      <c r="B92" s="5" t="s">
        <v>137</v>
      </c>
      <c r="C92" s="2" t="s">
        <v>139</v>
      </c>
      <c r="D92" s="2" t="s">
        <v>12</v>
      </c>
      <c r="E92" s="1">
        <v>62211.8718659675</v>
      </c>
      <c r="F92" s="2">
        <f t="shared" si="3"/>
        <v>1.7744360830611117</v>
      </c>
      <c r="G92" s="3">
        <v>0.10100000000000001</v>
      </c>
      <c r="H92" s="3">
        <v>0.5</v>
      </c>
      <c r="I92" s="3">
        <v>1.17</v>
      </c>
      <c r="J92" s="3">
        <v>0.97</v>
      </c>
      <c r="K92" s="6">
        <f t="shared" si="4"/>
        <v>8.7843370448569882</v>
      </c>
      <c r="L92" s="6">
        <f t="shared" si="5"/>
        <v>10.595540559260492</v>
      </c>
      <c r="M92" s="9">
        <f>AVERAGE(L92:L94)</f>
        <v>9.888603299591475</v>
      </c>
    </row>
    <row r="93" spans="1:13">
      <c r="A93" s="2" t="s">
        <v>93</v>
      </c>
      <c r="B93" s="5" t="s">
        <v>137</v>
      </c>
      <c r="C93" s="2" t="s">
        <v>139</v>
      </c>
      <c r="D93" s="2" t="s">
        <v>12</v>
      </c>
      <c r="E93" s="1">
        <v>55073.310394194297</v>
      </c>
      <c r="F93" s="2">
        <f t="shared" si="3"/>
        <v>1.6118079597720536</v>
      </c>
      <c r="G93" s="3">
        <v>0.10100000000000001</v>
      </c>
      <c r="H93" s="3">
        <v>0.5</v>
      </c>
      <c r="I93" s="3">
        <v>1.17</v>
      </c>
      <c r="J93" s="3">
        <v>0.97</v>
      </c>
      <c r="K93" s="6">
        <f t="shared" si="4"/>
        <v>7.9792473256042253</v>
      </c>
      <c r="L93" s="6">
        <f t="shared" si="5"/>
        <v>9.6244529597494264</v>
      </c>
    </row>
    <row r="94" spans="1:13">
      <c r="A94" s="2" t="s">
        <v>94</v>
      </c>
      <c r="B94" s="5" t="s">
        <v>137</v>
      </c>
      <c r="C94" s="2" t="s">
        <v>139</v>
      </c>
      <c r="D94" s="2" t="s">
        <v>12</v>
      </c>
      <c r="E94" s="1">
        <v>54791.379719200304</v>
      </c>
      <c r="F94" s="2">
        <f t="shared" si="3"/>
        <v>1.6053851171933093</v>
      </c>
      <c r="G94" s="3">
        <v>0.10249999999999999</v>
      </c>
      <c r="H94" s="3">
        <v>0.5</v>
      </c>
      <c r="I94" s="3">
        <v>1.17</v>
      </c>
      <c r="J94" s="3">
        <v>0.97</v>
      </c>
      <c r="K94" s="6">
        <f t="shared" si="4"/>
        <v>7.8311469131380944</v>
      </c>
      <c r="L94" s="6">
        <f t="shared" si="5"/>
        <v>9.4458163797645049</v>
      </c>
    </row>
    <row r="95" spans="1:13">
      <c r="A95" s="1" t="s">
        <v>95</v>
      </c>
      <c r="B95" s="4" t="s">
        <v>138</v>
      </c>
      <c r="C95" s="1" t="s">
        <v>139</v>
      </c>
      <c r="D95" s="1" t="s">
        <v>12</v>
      </c>
      <c r="E95" s="1">
        <v>58680.557112367103</v>
      </c>
      <c r="F95" s="2">
        <f t="shared" si="3"/>
        <v>1.6939869486813326</v>
      </c>
      <c r="G95">
        <v>9.7299999999999998E-2</v>
      </c>
      <c r="H95">
        <v>0.5</v>
      </c>
      <c r="I95">
        <v>1.54</v>
      </c>
      <c r="J95">
        <v>1</v>
      </c>
      <c r="K95" s="7">
        <f t="shared" si="4"/>
        <v>8.7049689038095206</v>
      </c>
      <c r="L95" s="7">
        <f t="shared" si="5"/>
        <v>13.405652111866662</v>
      </c>
      <c r="M95" s="9">
        <f>AVERAGE(L95:L97)</f>
        <v>14.916113604537893</v>
      </c>
    </row>
    <row r="96" spans="1:13">
      <c r="A96" s="1" t="s">
        <v>96</v>
      </c>
      <c r="B96" s="4" t="s">
        <v>138</v>
      </c>
      <c r="C96" s="1" t="s">
        <v>139</v>
      </c>
      <c r="D96" s="1" t="s">
        <v>12</v>
      </c>
      <c r="E96" s="1">
        <v>67894.137181485698</v>
      </c>
      <c r="F96" s="2">
        <f t="shared" si="3"/>
        <v>1.9038873944979087</v>
      </c>
      <c r="G96">
        <v>0.1017</v>
      </c>
      <c r="H96">
        <v>0.5</v>
      </c>
      <c r="I96">
        <v>1.54</v>
      </c>
      <c r="J96">
        <v>1</v>
      </c>
      <c r="K96" s="7">
        <f t="shared" si="4"/>
        <v>9.360311674031017</v>
      </c>
      <c r="L96" s="7">
        <f t="shared" si="5"/>
        <v>14.414879978007766</v>
      </c>
    </row>
    <row r="97" spans="1:12">
      <c r="A97" s="1" t="s">
        <v>97</v>
      </c>
      <c r="B97" s="1" t="s">
        <v>138</v>
      </c>
      <c r="C97" s="1" t="s">
        <v>139</v>
      </c>
      <c r="D97" s="1" t="s">
        <v>12</v>
      </c>
      <c r="E97" s="1">
        <v>77927.516754633602</v>
      </c>
      <c r="F97" s="2">
        <f t="shared" si="3"/>
        <v>2.1324642158476728</v>
      </c>
      <c r="G97">
        <v>9.7000000000000003E-2</v>
      </c>
      <c r="H97">
        <v>0.5</v>
      </c>
      <c r="I97">
        <v>1.54</v>
      </c>
      <c r="J97">
        <v>1</v>
      </c>
      <c r="K97" s="7">
        <f t="shared" si="4"/>
        <v>10.992083586843673</v>
      </c>
      <c r="L97" s="7">
        <f t="shared" si="5"/>
        <v>16.927808723739258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4F88B-B7DA-4160-BF87-EC8AE294AC1D}">
  <dimension ref="A1"/>
  <sheetViews>
    <sheetView workbookViewId="0">
      <selection sqref="A1:D1048576"/>
    </sheetView>
  </sheetViews>
  <sheetFormatPr defaultColWidth="11.42578125"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5c01ff0-70bc-4f44-a2de-2bde6a9d5bad">
      <Terms xmlns="http://schemas.microsoft.com/office/infopath/2007/PartnerControls"/>
    </lcf76f155ced4ddcb4097134ff3c332f>
    <TaxCatchAll xmlns="ff137078-e90e-47d0-980e-c7e2ec898b8b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5500F6A16FD64C9D4F4E423018CF93" ma:contentTypeVersion="9" ma:contentTypeDescription="Create a new document." ma:contentTypeScope="" ma:versionID="81152291ca9f03ce1279c2bb790e8f33">
  <xsd:schema xmlns:xsd="http://www.w3.org/2001/XMLSchema" xmlns:xs="http://www.w3.org/2001/XMLSchema" xmlns:p="http://schemas.microsoft.com/office/2006/metadata/properties" xmlns:ns2="95c01ff0-70bc-4f44-a2de-2bde6a9d5bad" xmlns:ns3="ff137078-e90e-47d0-980e-c7e2ec898b8b" targetNamespace="http://schemas.microsoft.com/office/2006/metadata/properties" ma:root="true" ma:fieldsID="071fb82854a3a544faf26e4ee5a8df5a" ns2:_="" ns3:_="">
    <xsd:import namespace="95c01ff0-70bc-4f44-a2de-2bde6a9d5bad"/>
    <xsd:import namespace="ff137078-e90e-47d0-980e-c7e2ec898b8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c01ff0-70bc-4f44-a2de-2bde6a9d5b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3b0b881-3bf5-4493-8d21-dd6cf614d6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137078-e90e-47d0-980e-c7e2ec898b8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70cbdc3-3477-4dbb-a727-ed67127719a9}" ma:internalName="TaxCatchAll" ma:showField="CatchAllData" ma:web="ff137078-e90e-47d0-980e-c7e2ec898b8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808DEC3-61EF-4918-8B9B-F4945E63C49B}"/>
</file>

<file path=customXml/itemProps2.xml><?xml version="1.0" encoding="utf-8"?>
<ds:datastoreItem xmlns:ds="http://schemas.openxmlformats.org/officeDocument/2006/customXml" ds:itemID="{DA1A7FB8-B5BD-4F02-A820-AE6A148FDFE2}"/>
</file>

<file path=customXml/itemProps3.xml><?xml version="1.0" encoding="utf-8"?>
<ds:datastoreItem xmlns:ds="http://schemas.openxmlformats.org/officeDocument/2006/customXml" ds:itemID="{94BF470F-05F2-4A3C-B4D8-95FB9A6E974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marina</dc:creator>
  <cp:keywords/>
  <dc:description/>
  <cp:lastModifiedBy>Marina Perez Llorca</cp:lastModifiedBy>
  <cp:revision/>
  <dcterms:created xsi:type="dcterms:W3CDTF">2023-09-29T10:56:38Z</dcterms:created>
  <dcterms:modified xsi:type="dcterms:W3CDTF">2023-11-28T11:47:37Z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0x010100585500F6A16FD64C9D4F4E423018CF93</vt:lpwstr>
  </property>
</Properties>
</file>