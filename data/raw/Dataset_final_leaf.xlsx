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BBB55693-3E06-49E5-8A93-3511E7788DF1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Treatments" sheetId="6" r:id="rId1"/>
    <sheet name="Nitrates" sheetId="1" r:id="rId2"/>
    <sheet name="Isotopes" sheetId="2" r:id="rId3"/>
    <sheet name="RGB" sheetId="3" r:id="rId4"/>
    <sheet name="Nutrient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6" i="1" l="1"/>
  <c r="H66" i="1"/>
  <c r="K65" i="1"/>
  <c r="H65" i="1"/>
  <c r="K64" i="1"/>
  <c r="H64" i="1"/>
  <c r="K63" i="1"/>
  <c r="H63" i="1"/>
  <c r="K62" i="1"/>
  <c r="H62" i="1"/>
  <c r="K61" i="1"/>
  <c r="H61" i="1"/>
  <c r="K60" i="1"/>
  <c r="H60" i="1"/>
  <c r="K59" i="1"/>
  <c r="H59" i="1"/>
  <c r="K58" i="1"/>
  <c r="H58" i="1"/>
  <c r="K57" i="1"/>
  <c r="H57" i="1"/>
  <c r="K56" i="1"/>
  <c r="H56" i="1"/>
  <c r="K55" i="1"/>
  <c r="H55" i="1"/>
  <c r="K54" i="1"/>
  <c r="H54" i="1"/>
  <c r="K53" i="1"/>
  <c r="H53" i="1"/>
  <c r="K52" i="1"/>
  <c r="H52" i="1"/>
  <c r="K51" i="1"/>
  <c r="H51" i="1"/>
  <c r="K50" i="1"/>
  <c r="H50" i="1"/>
  <c r="K49" i="1"/>
  <c r="H49" i="1"/>
  <c r="K48" i="1"/>
  <c r="H48" i="1"/>
  <c r="K47" i="1"/>
  <c r="H47" i="1"/>
  <c r="K46" i="1"/>
  <c r="H46" i="1"/>
  <c r="K45" i="1"/>
  <c r="H45" i="1"/>
  <c r="K44" i="1"/>
  <c r="H44" i="1"/>
  <c r="K43" i="1"/>
  <c r="H43" i="1"/>
  <c r="K42" i="1"/>
  <c r="H42" i="1"/>
  <c r="K41" i="1"/>
  <c r="H41" i="1"/>
  <c r="K40" i="1"/>
  <c r="H40" i="1"/>
  <c r="K39" i="1"/>
  <c r="H39" i="1"/>
  <c r="K38" i="1"/>
  <c r="H38" i="1"/>
  <c r="K37" i="1"/>
  <c r="H37" i="1"/>
  <c r="K36" i="1"/>
  <c r="H36" i="1"/>
  <c r="K35" i="1"/>
  <c r="H35" i="1"/>
  <c r="K34" i="1"/>
  <c r="H34" i="1"/>
  <c r="K33" i="1"/>
  <c r="H33" i="1"/>
  <c r="K32" i="1"/>
  <c r="H32" i="1"/>
  <c r="K31" i="1"/>
  <c r="H31" i="1"/>
  <c r="K30" i="1"/>
  <c r="H30" i="1"/>
  <c r="K29" i="1"/>
  <c r="H29" i="1"/>
  <c r="K28" i="1"/>
  <c r="H28" i="1"/>
  <c r="K27" i="1"/>
  <c r="H27" i="1"/>
  <c r="K26" i="1"/>
  <c r="H26" i="1"/>
  <c r="K25" i="1"/>
  <c r="H25" i="1"/>
  <c r="K24" i="1"/>
  <c r="H24" i="1"/>
  <c r="K23" i="1"/>
  <c r="H23" i="1"/>
  <c r="K22" i="1"/>
  <c r="H22" i="1"/>
  <c r="K21" i="1"/>
  <c r="H21" i="1"/>
  <c r="K20" i="1"/>
  <c r="H20" i="1"/>
  <c r="K19" i="1"/>
  <c r="H19" i="1"/>
  <c r="K18" i="1"/>
  <c r="H18" i="1"/>
  <c r="K17" i="1"/>
  <c r="H17" i="1"/>
  <c r="K16" i="1"/>
  <c r="H16" i="1"/>
  <c r="K15" i="1"/>
  <c r="H15" i="1"/>
  <c r="K14" i="1"/>
  <c r="H14" i="1"/>
  <c r="K13" i="1"/>
  <c r="H13" i="1"/>
  <c r="K12" i="1"/>
  <c r="H12" i="1"/>
  <c r="K11" i="1"/>
  <c r="H11" i="1"/>
  <c r="K10" i="1"/>
  <c r="H10" i="1"/>
  <c r="K9" i="1"/>
  <c r="H9" i="1"/>
  <c r="K8" i="1"/>
  <c r="H8" i="1"/>
  <c r="K7" i="1"/>
  <c r="H7" i="1"/>
  <c r="K6" i="1"/>
  <c r="H6" i="1"/>
  <c r="K5" i="1"/>
  <c r="H5" i="1"/>
  <c r="K4" i="1"/>
  <c r="H4" i="1"/>
  <c r="K3" i="1"/>
  <c r="H3" i="1"/>
  <c r="K2" i="1"/>
  <c r="H2" i="1"/>
  <c r="N2" i="1" l="1"/>
  <c r="M2" i="1"/>
  <c r="N3" i="1"/>
  <c r="M3" i="1"/>
  <c r="N4" i="1"/>
  <c r="M4" i="1"/>
  <c r="N5" i="1"/>
  <c r="M5" i="1"/>
  <c r="N6" i="1"/>
  <c r="M6" i="1"/>
  <c r="N7" i="1"/>
  <c r="M7" i="1"/>
  <c r="N8" i="1"/>
  <c r="M8" i="1"/>
  <c r="N9" i="1"/>
  <c r="M9" i="1"/>
  <c r="N10" i="1"/>
  <c r="M10" i="1"/>
  <c r="N11" i="1"/>
  <c r="M11" i="1"/>
  <c r="N12" i="1"/>
  <c r="M12" i="1"/>
  <c r="N13" i="1"/>
  <c r="M13" i="1"/>
  <c r="N14" i="1"/>
  <c r="M14" i="1"/>
  <c r="N15" i="1"/>
  <c r="M15" i="1"/>
  <c r="N16" i="1"/>
  <c r="M16" i="1"/>
  <c r="N17" i="1"/>
  <c r="M17" i="1"/>
  <c r="N18" i="1"/>
  <c r="M18" i="1"/>
  <c r="N19" i="1"/>
  <c r="M19" i="1"/>
  <c r="N20" i="1"/>
  <c r="M20" i="1"/>
  <c r="N21" i="1"/>
  <c r="M21" i="1"/>
  <c r="N22" i="1"/>
  <c r="M22" i="1"/>
  <c r="N23" i="1"/>
  <c r="M23" i="1"/>
  <c r="N24" i="1"/>
  <c r="M24" i="1"/>
  <c r="N25" i="1"/>
  <c r="M25" i="1"/>
  <c r="N26" i="1"/>
  <c r="M26" i="1"/>
  <c r="N27" i="1"/>
  <c r="M27" i="1"/>
  <c r="N28" i="1"/>
  <c r="M28" i="1"/>
  <c r="N29" i="1"/>
  <c r="M29" i="1"/>
  <c r="N30" i="1"/>
  <c r="M30" i="1"/>
  <c r="N31" i="1"/>
  <c r="M31" i="1"/>
  <c r="N32" i="1"/>
  <c r="M32" i="1"/>
  <c r="N33" i="1"/>
  <c r="M33" i="1"/>
  <c r="N34" i="1"/>
  <c r="M34" i="1"/>
  <c r="N35" i="1"/>
  <c r="M35" i="1"/>
  <c r="N36" i="1"/>
  <c r="M36" i="1"/>
  <c r="N37" i="1"/>
  <c r="M37" i="1"/>
  <c r="N38" i="1"/>
  <c r="M38" i="1"/>
  <c r="N39" i="1"/>
  <c r="M39" i="1"/>
  <c r="N40" i="1"/>
  <c r="M40" i="1"/>
  <c r="N41" i="1"/>
  <c r="M41" i="1"/>
  <c r="N42" i="1"/>
  <c r="M42" i="1"/>
  <c r="N43" i="1"/>
  <c r="M43" i="1"/>
  <c r="N44" i="1"/>
  <c r="M44" i="1"/>
  <c r="N45" i="1"/>
  <c r="M45" i="1"/>
  <c r="N46" i="1"/>
  <c r="M46" i="1"/>
  <c r="N47" i="1"/>
  <c r="M47" i="1"/>
  <c r="N48" i="1"/>
  <c r="M48" i="1"/>
  <c r="N49" i="1"/>
  <c r="M49" i="1"/>
  <c r="N50" i="1"/>
  <c r="M50" i="1"/>
  <c r="N51" i="1"/>
  <c r="M51" i="1"/>
  <c r="N52" i="1"/>
  <c r="M52" i="1"/>
  <c r="N53" i="1"/>
  <c r="M53" i="1"/>
  <c r="N54" i="1"/>
  <c r="M54" i="1"/>
  <c r="N55" i="1"/>
  <c r="M55" i="1"/>
  <c r="N56" i="1"/>
  <c r="M56" i="1"/>
  <c r="N57" i="1"/>
  <c r="M57" i="1"/>
  <c r="N58" i="1"/>
  <c r="M58" i="1"/>
  <c r="N59" i="1"/>
  <c r="M59" i="1"/>
  <c r="N60" i="1"/>
  <c r="M60" i="1"/>
  <c r="N61" i="1"/>
  <c r="M61" i="1"/>
  <c r="N62" i="1"/>
  <c r="M62" i="1"/>
  <c r="N63" i="1"/>
  <c r="M63" i="1"/>
  <c r="N64" i="1"/>
  <c r="M64" i="1"/>
  <c r="N65" i="1"/>
  <c r="M65" i="1"/>
</calcChain>
</file>

<file path=xl/sharedStrings.xml><?xml version="1.0" encoding="utf-8"?>
<sst xmlns="http://schemas.openxmlformats.org/spreadsheetml/2006/main" count="1411" uniqueCount="137">
  <si>
    <t>Treatments</t>
  </si>
  <si>
    <t>T1</t>
  </si>
  <si>
    <t>Compost</t>
  </si>
  <si>
    <t>T2</t>
  </si>
  <si>
    <t>N-rich</t>
  </si>
  <si>
    <t>T3</t>
  </si>
  <si>
    <t>RCW-HD</t>
  </si>
  <si>
    <t>T4</t>
  </si>
  <si>
    <t>RCW-LD</t>
  </si>
  <si>
    <t xml:space="preserve">Sample </t>
  </si>
  <si>
    <t>Parcel/Plot</t>
  </si>
  <si>
    <t>Cv</t>
  </si>
  <si>
    <t>Treatment</t>
  </si>
  <si>
    <t>Repl</t>
  </si>
  <si>
    <t>Time</t>
  </si>
  <si>
    <t>ABS 405</t>
  </si>
  <si>
    <t>NO3- ppm</t>
  </si>
  <si>
    <t>Vol extract (L)</t>
  </si>
  <si>
    <t>weight extract (mg)</t>
  </si>
  <si>
    <t>weight extract g</t>
  </si>
  <si>
    <t>Dillution factor nitrates</t>
  </si>
  <si>
    <t>mg NO3-/ g DW</t>
  </si>
  <si>
    <t>mg NO3-/ 100 mg DW</t>
  </si>
  <si>
    <t>Dona</t>
  </si>
  <si>
    <t>R1</t>
  </si>
  <si>
    <t>March</t>
  </si>
  <si>
    <t>R2</t>
  </si>
  <si>
    <t>R3</t>
  </si>
  <si>
    <t>R4</t>
  </si>
  <si>
    <t>Dream</t>
  </si>
  <si>
    <t>May</t>
  </si>
  <si>
    <t>ctrol</t>
  </si>
  <si>
    <t>Sample ID</t>
  </si>
  <si>
    <t>Replicate</t>
  </si>
  <si>
    <t>New_block</t>
  </si>
  <si>
    <t>Date</t>
  </si>
  <si>
    <t>%N</t>
  </si>
  <si>
    <t>d13C</t>
  </si>
  <si>
    <t>Donna</t>
  </si>
  <si>
    <t xml:space="preserve">T1 </t>
  </si>
  <si>
    <t>Block 1</t>
  </si>
  <si>
    <t>Flowering (March)</t>
  </si>
  <si>
    <t xml:space="preserve">T3 </t>
  </si>
  <si>
    <t xml:space="preserve">T2 </t>
  </si>
  <si>
    <t xml:space="preserve">T4 </t>
  </si>
  <si>
    <t>Block 2</t>
  </si>
  <si>
    <t>Block 3</t>
  </si>
  <si>
    <t>Block 4</t>
  </si>
  <si>
    <t xml:space="preserve">Harvest (May) </t>
  </si>
  <si>
    <t>GA</t>
  </si>
  <si>
    <t>GGA</t>
  </si>
  <si>
    <t>CSI</t>
  </si>
  <si>
    <t>December</t>
  </si>
  <si>
    <t>ug/g DW</t>
  </si>
  <si>
    <t>mg/g DW</t>
  </si>
  <si>
    <t>Cr</t>
  </si>
  <si>
    <t>Co</t>
  </si>
  <si>
    <t>Ni</t>
  </si>
  <si>
    <t>Cu</t>
  </si>
  <si>
    <t>Mo</t>
  </si>
  <si>
    <t>Cd</t>
  </si>
  <si>
    <t>Pb</t>
  </si>
  <si>
    <t>P</t>
  </si>
  <si>
    <t>K</t>
  </si>
  <si>
    <t>S</t>
  </si>
  <si>
    <t>Na</t>
  </si>
  <si>
    <t>Mg</t>
  </si>
  <si>
    <t>Mn</t>
  </si>
  <si>
    <t>B</t>
  </si>
  <si>
    <t>Si</t>
  </si>
  <si>
    <t>Fe</t>
  </si>
  <si>
    <t>Ca</t>
  </si>
  <si>
    <t>Zn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</si>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</sst>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3" fillId="3" borderId="1">
      <alignment horizontal="right"/>
    </xf>
    <xf numFmtId="4" fontId="3" fillId="0" borderId="1">
      <alignment horizontal="right"/>
    </xf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right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4" borderId="0" xfId="0" applyFill="1"/>
    <xf numFmtId="0" fontId="0" fillId="5" borderId="0" xfId="0" applyFill="1"/>
    <xf numFmtId="165" fontId="0" fillId="5" borderId="0" xfId="0" applyNumberFormat="1" applyFill="1"/>
  </cellXfs>
  <cellStyles count="3">
    <cellStyle name="Normal" xfId="0" builtinId="0"/>
    <cellStyle name="qt con" xfId="2" xr:uid="{F537CD37-4C9D-41AD-B28B-714A6D1BC581}"/>
    <cellStyle name="qt lbn" xfId="1" xr:uid="{8D9AB6FA-9681-4EAD-BDAE-263FF0EC262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A7E29-F2C4-4272-B2BA-1D3AB79C44B4}">
  <dimension ref="A1:B5"/>
  <sheetViews>
    <sheetView workbookViewId="0">
      <selection activeCell="F10" sqref="F10"/>
    </sheetView>
  </sheetViews>
  <sheetFormatPr defaultRowHeight="15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workbookViewId="0">
      <selection activeCell="B1" sqref="B1"/>
    </sheetView>
  </sheetViews>
  <sheetFormatPr defaultRowHeight="15"/>
  <cols>
    <col min="13" max="13" width="16.85546875" customWidth="1"/>
    <col min="14" max="14" width="23.28515625" customWidth="1"/>
  </cols>
  <sheetData>
    <row r="1" spans="1:14">
      <c r="A1" s="1" t="s">
        <v>9</v>
      </c>
      <c r="B1" s="5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2" t="s">
        <v>21</v>
      </c>
      <c r="N1" s="2" t="s">
        <v>22</v>
      </c>
    </row>
    <row r="2" spans="1:14">
      <c r="A2">
        <v>1</v>
      </c>
      <c r="B2">
        <v>1</v>
      </c>
      <c r="C2" t="s">
        <v>23</v>
      </c>
      <c r="D2" t="s">
        <v>1</v>
      </c>
      <c r="E2" t="s">
        <v>24</v>
      </c>
      <c r="F2" t="s">
        <v>25</v>
      </c>
      <c r="G2" s="3">
        <v>0.19831666666666667</v>
      </c>
      <c r="H2">
        <f>(G2+0.022)/0.0085</f>
        <v>25.919607843137253</v>
      </c>
      <c r="I2">
        <v>0.01</v>
      </c>
      <c r="J2">
        <v>96.84</v>
      </c>
      <c r="K2">
        <f>J2/1000</f>
        <v>9.6840000000000009E-2</v>
      </c>
      <c r="L2">
        <v>125</v>
      </c>
      <c r="M2" s="4">
        <f>(H2*I2)*125/K2</f>
        <v>334.56742878894636</v>
      </c>
      <c r="N2" s="4">
        <f>H2*I2*125</f>
        <v>32.399509803921568</v>
      </c>
    </row>
    <row r="3" spans="1:14">
      <c r="A3">
        <v>2</v>
      </c>
      <c r="B3">
        <v>2</v>
      </c>
      <c r="C3" t="s">
        <v>23</v>
      </c>
      <c r="D3" t="s">
        <v>5</v>
      </c>
      <c r="E3" t="s">
        <v>24</v>
      </c>
      <c r="F3" t="s">
        <v>25</v>
      </c>
      <c r="G3" s="3">
        <v>0.17863333333333334</v>
      </c>
      <c r="H3">
        <f t="shared" ref="H3:H66" si="0">(G3+0.022)/0.0085</f>
        <v>23.603921568627449</v>
      </c>
      <c r="I3">
        <v>0.01</v>
      </c>
      <c r="J3">
        <v>106.45</v>
      </c>
      <c r="K3">
        <f t="shared" ref="K3:K66" si="1">J3/1000</f>
        <v>0.10645</v>
      </c>
      <c r="L3">
        <v>125</v>
      </c>
      <c r="M3" s="4">
        <f t="shared" ref="M3:M65" si="2">(H3*I3)*125/K3</f>
        <v>277.17146041131343</v>
      </c>
      <c r="N3" s="4">
        <f>H3*I3*125</f>
        <v>29.504901960784313</v>
      </c>
    </row>
    <row r="4" spans="1:14">
      <c r="A4">
        <v>3</v>
      </c>
      <c r="B4">
        <v>3</v>
      </c>
      <c r="C4" t="s">
        <v>23</v>
      </c>
      <c r="D4" t="s">
        <v>3</v>
      </c>
      <c r="E4" t="s">
        <v>26</v>
      </c>
      <c r="F4" t="s">
        <v>25</v>
      </c>
      <c r="G4" s="3">
        <v>0.17738333333333331</v>
      </c>
      <c r="H4">
        <f t="shared" si="0"/>
        <v>23.456862745098032</v>
      </c>
      <c r="I4">
        <v>0.01</v>
      </c>
      <c r="J4">
        <v>95.57</v>
      </c>
      <c r="K4">
        <f t="shared" si="1"/>
        <v>9.5569999999999988E-2</v>
      </c>
      <c r="L4">
        <v>125</v>
      </c>
      <c r="M4" s="4">
        <f t="shared" si="2"/>
        <v>306.8021181476671</v>
      </c>
      <c r="N4" s="4">
        <f t="shared" ref="N4:N65" si="3">H4*I4*125</f>
        <v>29.321078431372541</v>
      </c>
    </row>
    <row r="5" spans="1:14">
      <c r="A5">
        <v>4</v>
      </c>
      <c r="B5">
        <v>4</v>
      </c>
      <c r="C5" t="s">
        <v>23</v>
      </c>
      <c r="D5" t="s">
        <v>7</v>
      </c>
      <c r="E5" t="s">
        <v>26</v>
      </c>
      <c r="F5" t="s">
        <v>25</v>
      </c>
      <c r="G5" s="3">
        <v>0.15906666666666669</v>
      </c>
      <c r="H5">
        <f t="shared" si="0"/>
        <v>21.301960784313724</v>
      </c>
      <c r="I5">
        <v>0.01</v>
      </c>
      <c r="J5">
        <v>97.88</v>
      </c>
      <c r="K5">
        <f t="shared" si="1"/>
        <v>9.7879999999999995E-2</v>
      </c>
      <c r="L5">
        <v>125</v>
      </c>
      <c r="M5" s="4">
        <f t="shared" si="2"/>
        <v>272.04179587650344</v>
      </c>
      <c r="N5" s="4">
        <f t="shared" si="3"/>
        <v>26.627450980392158</v>
      </c>
    </row>
    <row r="6" spans="1:14">
      <c r="A6">
        <v>5</v>
      </c>
      <c r="B6">
        <v>5</v>
      </c>
      <c r="C6" t="s">
        <v>23</v>
      </c>
      <c r="D6" t="s">
        <v>5</v>
      </c>
      <c r="E6" t="s">
        <v>27</v>
      </c>
      <c r="F6" t="s">
        <v>25</v>
      </c>
      <c r="G6" s="3">
        <v>0.17944999999999997</v>
      </c>
      <c r="H6">
        <f t="shared" si="0"/>
        <v>23.699999999999992</v>
      </c>
      <c r="I6">
        <v>0.01</v>
      </c>
      <c r="J6">
        <v>99.37</v>
      </c>
      <c r="K6">
        <f t="shared" si="1"/>
        <v>9.937E-2</v>
      </c>
      <c r="L6">
        <v>125</v>
      </c>
      <c r="M6" s="4">
        <f t="shared" si="2"/>
        <v>298.12820770856388</v>
      </c>
      <c r="N6" s="4">
        <f t="shared" si="3"/>
        <v>29.624999999999993</v>
      </c>
    </row>
    <row r="7" spans="1:14">
      <c r="A7">
        <v>6</v>
      </c>
      <c r="B7">
        <v>6</v>
      </c>
      <c r="C7" t="s">
        <v>23</v>
      </c>
      <c r="D7" t="s">
        <v>1</v>
      </c>
      <c r="E7" t="s">
        <v>27</v>
      </c>
      <c r="F7" t="s">
        <v>25</v>
      </c>
      <c r="G7" s="3">
        <v>0.16678333333333337</v>
      </c>
      <c r="H7">
        <f t="shared" si="0"/>
        <v>22.209803921568628</v>
      </c>
      <c r="I7">
        <v>0.01</v>
      </c>
      <c r="J7">
        <v>95.92</v>
      </c>
      <c r="K7">
        <f t="shared" si="1"/>
        <v>9.5920000000000005E-2</v>
      </c>
      <c r="L7">
        <v>125</v>
      </c>
      <c r="M7" s="4">
        <f t="shared" si="2"/>
        <v>289.4313480187738</v>
      </c>
      <c r="N7" s="4">
        <f t="shared" si="3"/>
        <v>27.762254901960787</v>
      </c>
    </row>
    <row r="8" spans="1:14">
      <c r="A8">
        <v>7</v>
      </c>
      <c r="B8">
        <v>7</v>
      </c>
      <c r="C8" t="s">
        <v>23</v>
      </c>
      <c r="D8" t="s">
        <v>7</v>
      </c>
      <c r="E8" t="s">
        <v>28</v>
      </c>
      <c r="F8" t="s">
        <v>25</v>
      </c>
      <c r="G8" s="3">
        <v>0.18599999999999997</v>
      </c>
      <c r="H8">
        <f t="shared" si="0"/>
        <v>24.470588235294112</v>
      </c>
      <c r="I8">
        <v>0.01</v>
      </c>
      <c r="J8">
        <v>102.21</v>
      </c>
      <c r="K8">
        <f t="shared" si="1"/>
        <v>0.10221</v>
      </c>
      <c r="L8">
        <v>125</v>
      </c>
      <c r="M8" s="4">
        <f t="shared" si="2"/>
        <v>299.26851867838411</v>
      </c>
      <c r="N8" s="4">
        <f t="shared" si="3"/>
        <v>30.588235294117641</v>
      </c>
    </row>
    <row r="9" spans="1:14">
      <c r="A9">
        <v>8</v>
      </c>
      <c r="B9">
        <v>8</v>
      </c>
      <c r="C9" t="s">
        <v>23</v>
      </c>
      <c r="D9" t="s">
        <v>3</v>
      </c>
      <c r="E9" t="s">
        <v>28</v>
      </c>
      <c r="F9" t="s">
        <v>25</v>
      </c>
      <c r="G9" s="3">
        <v>0.16015000000000001</v>
      </c>
      <c r="H9">
        <f t="shared" si="0"/>
        <v>21.429411764705883</v>
      </c>
      <c r="I9">
        <v>0.01</v>
      </c>
      <c r="J9">
        <v>104.05</v>
      </c>
      <c r="K9">
        <f t="shared" si="1"/>
        <v>0.10405</v>
      </c>
      <c r="L9">
        <v>125</v>
      </c>
      <c r="M9" s="4">
        <f t="shared" si="2"/>
        <v>257.44127540492411</v>
      </c>
      <c r="N9" s="4">
        <f t="shared" si="3"/>
        <v>26.786764705882355</v>
      </c>
    </row>
    <row r="10" spans="1:14">
      <c r="A10">
        <v>9</v>
      </c>
      <c r="B10">
        <v>9</v>
      </c>
      <c r="C10" t="s">
        <v>23</v>
      </c>
      <c r="D10" t="s">
        <v>5</v>
      </c>
      <c r="E10" t="s">
        <v>28</v>
      </c>
      <c r="F10" t="s">
        <v>25</v>
      </c>
      <c r="G10" s="3">
        <v>0.16009999999999999</v>
      </c>
      <c r="H10">
        <f t="shared" si="0"/>
        <v>21.423529411764701</v>
      </c>
      <c r="I10">
        <v>0.01</v>
      </c>
      <c r="J10">
        <v>96.09</v>
      </c>
      <c r="K10">
        <f t="shared" si="1"/>
        <v>9.6090000000000009E-2</v>
      </c>
      <c r="L10">
        <v>125</v>
      </c>
      <c r="M10" s="4">
        <f t="shared" si="2"/>
        <v>278.69093313254109</v>
      </c>
      <c r="N10" s="4">
        <f t="shared" si="3"/>
        <v>26.779411764705877</v>
      </c>
    </row>
    <row r="11" spans="1:14">
      <c r="A11">
        <v>10</v>
      </c>
      <c r="B11">
        <v>10</v>
      </c>
      <c r="C11" t="s">
        <v>23</v>
      </c>
      <c r="D11" t="s">
        <v>1</v>
      </c>
      <c r="E11" t="s">
        <v>28</v>
      </c>
      <c r="F11" t="s">
        <v>25</v>
      </c>
      <c r="G11" s="3">
        <v>0.18086666666666665</v>
      </c>
      <c r="H11">
        <f t="shared" si="0"/>
        <v>23.86666666666666</v>
      </c>
      <c r="I11">
        <v>0.01</v>
      </c>
      <c r="J11">
        <v>98.27</v>
      </c>
      <c r="K11">
        <f t="shared" si="1"/>
        <v>9.8269999999999996E-2</v>
      </c>
      <c r="L11">
        <v>125</v>
      </c>
      <c r="M11" s="4">
        <f t="shared" si="2"/>
        <v>303.58536006241303</v>
      </c>
      <c r="N11" s="4">
        <f t="shared" si="3"/>
        <v>29.833333333333325</v>
      </c>
    </row>
    <row r="12" spans="1:14">
      <c r="A12">
        <v>11</v>
      </c>
      <c r="B12">
        <v>11</v>
      </c>
      <c r="C12" t="s">
        <v>23</v>
      </c>
      <c r="D12" t="s">
        <v>3</v>
      </c>
      <c r="E12" t="s">
        <v>27</v>
      </c>
      <c r="F12" t="s">
        <v>25</v>
      </c>
      <c r="G12" s="3">
        <v>0.18931666666666669</v>
      </c>
      <c r="H12">
        <f t="shared" si="0"/>
        <v>24.860784313725489</v>
      </c>
      <c r="I12">
        <v>0.01</v>
      </c>
      <c r="J12">
        <v>102.57</v>
      </c>
      <c r="K12">
        <f t="shared" si="1"/>
        <v>0.10256999999999999</v>
      </c>
      <c r="L12">
        <v>125</v>
      </c>
      <c r="M12" s="4">
        <f t="shared" si="2"/>
        <v>302.97338785372784</v>
      </c>
      <c r="N12" s="4">
        <f t="shared" si="3"/>
        <v>31.075980392156861</v>
      </c>
    </row>
    <row r="13" spans="1:14">
      <c r="A13">
        <v>12</v>
      </c>
      <c r="B13">
        <v>12</v>
      </c>
      <c r="C13" t="s">
        <v>23</v>
      </c>
      <c r="D13" t="s">
        <v>7</v>
      </c>
      <c r="E13" t="s">
        <v>27</v>
      </c>
      <c r="F13" t="s">
        <v>25</v>
      </c>
      <c r="G13" s="3">
        <v>0.21294999999999997</v>
      </c>
      <c r="H13">
        <f t="shared" si="0"/>
        <v>27.641176470588228</v>
      </c>
      <c r="I13">
        <v>0.01</v>
      </c>
      <c r="J13">
        <v>96.94</v>
      </c>
      <c r="K13">
        <f t="shared" si="1"/>
        <v>9.6939999999999998E-2</v>
      </c>
      <c r="L13">
        <v>125</v>
      </c>
      <c r="M13" s="4">
        <f t="shared" si="2"/>
        <v>356.42119443197123</v>
      </c>
      <c r="N13" s="4">
        <f t="shared" si="3"/>
        <v>34.55147058823529</v>
      </c>
    </row>
    <row r="14" spans="1:14">
      <c r="A14">
        <v>13</v>
      </c>
      <c r="B14">
        <v>13</v>
      </c>
      <c r="C14" t="s">
        <v>23</v>
      </c>
      <c r="D14" t="s">
        <v>1</v>
      </c>
      <c r="E14" t="s">
        <v>26</v>
      </c>
      <c r="F14" t="s">
        <v>25</v>
      </c>
      <c r="G14" s="3">
        <v>0.18731666666666666</v>
      </c>
      <c r="H14">
        <f t="shared" si="0"/>
        <v>24.625490196078427</v>
      </c>
      <c r="I14">
        <v>0.01</v>
      </c>
      <c r="J14">
        <v>96.69</v>
      </c>
      <c r="K14">
        <f t="shared" si="1"/>
        <v>9.6689999999999998E-2</v>
      </c>
      <c r="L14">
        <v>125</v>
      </c>
      <c r="M14" s="4">
        <f t="shared" si="2"/>
        <v>318.35621827591308</v>
      </c>
      <c r="N14" s="4">
        <f t="shared" si="3"/>
        <v>30.781862745098035</v>
      </c>
    </row>
    <row r="15" spans="1:14">
      <c r="A15">
        <v>14</v>
      </c>
      <c r="B15">
        <v>14</v>
      </c>
      <c r="C15" t="s">
        <v>23</v>
      </c>
      <c r="D15" t="s">
        <v>5</v>
      </c>
      <c r="E15" t="s">
        <v>26</v>
      </c>
      <c r="F15" t="s">
        <v>25</v>
      </c>
      <c r="G15" s="3">
        <v>0.15983333333333333</v>
      </c>
      <c r="H15">
        <f t="shared" si="0"/>
        <v>21.392156862745093</v>
      </c>
      <c r="I15">
        <v>0.01</v>
      </c>
      <c r="J15">
        <v>98.7</v>
      </c>
      <c r="K15">
        <f t="shared" si="1"/>
        <v>9.8699999999999996E-2</v>
      </c>
      <c r="L15">
        <v>125</v>
      </c>
      <c r="M15" s="4">
        <f t="shared" si="2"/>
        <v>270.92397242584974</v>
      </c>
      <c r="N15" s="4">
        <f t="shared" si="3"/>
        <v>26.740196078431367</v>
      </c>
    </row>
    <row r="16" spans="1:14">
      <c r="A16">
        <v>15</v>
      </c>
      <c r="B16">
        <v>15</v>
      </c>
      <c r="C16" t="s">
        <v>23</v>
      </c>
      <c r="D16" t="s">
        <v>7</v>
      </c>
      <c r="E16" t="s">
        <v>24</v>
      </c>
      <c r="F16" t="s">
        <v>25</v>
      </c>
      <c r="G16" s="3">
        <v>0.17716666666666669</v>
      </c>
      <c r="H16">
        <f t="shared" si="0"/>
        <v>23.43137254901961</v>
      </c>
      <c r="I16">
        <v>0.01</v>
      </c>
      <c r="J16">
        <v>104.66</v>
      </c>
      <c r="K16">
        <f t="shared" si="1"/>
        <v>0.10466</v>
      </c>
      <c r="L16">
        <v>125</v>
      </c>
      <c r="M16" s="4">
        <f t="shared" si="2"/>
        <v>279.85109579853349</v>
      </c>
      <c r="N16" s="4">
        <f t="shared" si="3"/>
        <v>29.289215686274513</v>
      </c>
    </row>
    <row r="17" spans="1:14">
      <c r="A17">
        <v>16</v>
      </c>
      <c r="B17">
        <v>16</v>
      </c>
      <c r="C17" t="s">
        <v>23</v>
      </c>
      <c r="D17" t="s">
        <v>3</v>
      </c>
      <c r="E17" t="s">
        <v>24</v>
      </c>
      <c r="F17" t="s">
        <v>25</v>
      </c>
      <c r="G17" s="3">
        <v>0.18438333333333334</v>
      </c>
      <c r="H17">
        <f t="shared" si="0"/>
        <v>24.280392156862742</v>
      </c>
      <c r="I17">
        <v>0.01</v>
      </c>
      <c r="J17">
        <v>104.05</v>
      </c>
      <c r="K17">
        <f t="shared" si="1"/>
        <v>0.10405</v>
      </c>
      <c r="L17">
        <v>125</v>
      </c>
      <c r="M17" s="4">
        <f t="shared" si="2"/>
        <v>291.69140025063359</v>
      </c>
      <c r="N17" s="4">
        <f t="shared" si="3"/>
        <v>30.350490196078429</v>
      </c>
    </row>
    <row r="18" spans="1:14">
      <c r="A18">
        <v>17</v>
      </c>
      <c r="B18">
        <v>1</v>
      </c>
      <c r="C18" t="s">
        <v>29</v>
      </c>
      <c r="D18" t="s">
        <v>1</v>
      </c>
      <c r="E18" t="s">
        <v>24</v>
      </c>
      <c r="F18" t="s">
        <v>25</v>
      </c>
      <c r="G18" s="3">
        <v>0.1782</v>
      </c>
      <c r="H18">
        <f t="shared" si="0"/>
        <v>23.552941176470586</v>
      </c>
      <c r="I18">
        <v>0.01</v>
      </c>
      <c r="J18">
        <v>102.39</v>
      </c>
      <c r="K18">
        <f t="shared" si="1"/>
        <v>0.10238999999999999</v>
      </c>
      <c r="L18">
        <v>125</v>
      </c>
      <c r="M18" s="4">
        <f t="shared" si="2"/>
        <v>287.53956900662405</v>
      </c>
      <c r="N18" s="4">
        <f t="shared" si="3"/>
        <v>29.441176470588236</v>
      </c>
    </row>
    <row r="19" spans="1:14">
      <c r="A19">
        <v>18</v>
      </c>
      <c r="B19">
        <v>2</v>
      </c>
      <c r="C19" t="s">
        <v>29</v>
      </c>
      <c r="D19" t="s">
        <v>5</v>
      </c>
      <c r="E19" t="s">
        <v>24</v>
      </c>
      <c r="F19" t="s">
        <v>25</v>
      </c>
      <c r="G19" s="3">
        <v>0.20908333333333332</v>
      </c>
      <c r="H19">
        <f t="shared" si="0"/>
        <v>27.186274509803916</v>
      </c>
      <c r="I19">
        <v>0.01</v>
      </c>
      <c r="J19">
        <v>98.64</v>
      </c>
      <c r="K19">
        <f t="shared" si="1"/>
        <v>9.8640000000000005E-2</v>
      </c>
      <c r="L19">
        <v>125</v>
      </c>
      <c r="M19" s="4">
        <f t="shared" si="2"/>
        <v>344.51381931523616</v>
      </c>
      <c r="N19" s="4">
        <f t="shared" si="3"/>
        <v>33.982843137254896</v>
      </c>
    </row>
    <row r="20" spans="1:14">
      <c r="A20">
        <v>19</v>
      </c>
      <c r="B20">
        <v>3</v>
      </c>
      <c r="C20" t="s">
        <v>29</v>
      </c>
      <c r="D20" t="s">
        <v>3</v>
      </c>
      <c r="E20" t="s">
        <v>26</v>
      </c>
      <c r="F20" t="s">
        <v>25</v>
      </c>
      <c r="G20" s="3">
        <v>0.24216666666666667</v>
      </c>
      <c r="H20">
        <f t="shared" si="0"/>
        <v>31.078431372549016</v>
      </c>
      <c r="I20">
        <v>0.01</v>
      </c>
      <c r="J20">
        <v>100.27</v>
      </c>
      <c r="K20">
        <f t="shared" si="1"/>
        <v>0.10027</v>
      </c>
      <c r="L20">
        <v>125</v>
      </c>
      <c r="M20" s="4">
        <f t="shared" si="2"/>
        <v>387.4343194942283</v>
      </c>
      <c r="N20" s="4">
        <f t="shared" si="3"/>
        <v>38.848039215686271</v>
      </c>
    </row>
    <row r="21" spans="1:14">
      <c r="A21">
        <v>20</v>
      </c>
      <c r="B21">
        <v>4</v>
      </c>
      <c r="C21" t="s">
        <v>29</v>
      </c>
      <c r="D21" t="s">
        <v>7</v>
      </c>
      <c r="E21" t="s">
        <v>26</v>
      </c>
      <c r="F21" t="s">
        <v>25</v>
      </c>
      <c r="G21" s="3">
        <v>0.20318333333333335</v>
      </c>
      <c r="H21">
        <f t="shared" si="0"/>
        <v>26.492156862745098</v>
      </c>
      <c r="I21">
        <v>0.01</v>
      </c>
      <c r="J21">
        <v>98.66</v>
      </c>
      <c r="K21">
        <f t="shared" si="1"/>
        <v>9.8659999999999998E-2</v>
      </c>
      <c r="L21">
        <v>125</v>
      </c>
      <c r="M21" s="4">
        <f t="shared" si="2"/>
        <v>335.64966631290667</v>
      </c>
      <c r="N21" s="4">
        <f t="shared" si="3"/>
        <v>33.115196078431374</v>
      </c>
    </row>
    <row r="22" spans="1:14">
      <c r="A22">
        <v>21</v>
      </c>
      <c r="B22">
        <v>5</v>
      </c>
      <c r="C22" t="s">
        <v>29</v>
      </c>
      <c r="D22" t="s">
        <v>5</v>
      </c>
      <c r="E22" t="s">
        <v>27</v>
      </c>
      <c r="F22" t="s">
        <v>25</v>
      </c>
      <c r="G22" s="3">
        <v>0.20652500000000001</v>
      </c>
      <c r="H22">
        <f t="shared" si="0"/>
        <v>26.885294117647057</v>
      </c>
      <c r="I22">
        <v>0.01</v>
      </c>
      <c r="J22">
        <v>102.21</v>
      </c>
      <c r="K22">
        <f t="shared" si="1"/>
        <v>0.10221</v>
      </c>
      <c r="L22">
        <v>125</v>
      </c>
      <c r="M22" s="4">
        <f t="shared" si="2"/>
        <v>328.79970303354685</v>
      </c>
      <c r="N22" s="4">
        <f t="shared" si="3"/>
        <v>33.606617647058819</v>
      </c>
    </row>
    <row r="23" spans="1:14">
      <c r="A23">
        <v>22</v>
      </c>
      <c r="B23">
        <v>6</v>
      </c>
      <c r="C23" t="s">
        <v>29</v>
      </c>
      <c r="D23" t="s">
        <v>1</v>
      </c>
      <c r="E23" t="s">
        <v>27</v>
      </c>
      <c r="F23" t="s">
        <v>25</v>
      </c>
      <c r="G23" s="3">
        <v>0.21598333333333333</v>
      </c>
      <c r="H23">
        <f t="shared" si="0"/>
        <v>27.998039215686273</v>
      </c>
      <c r="I23">
        <v>0.01</v>
      </c>
      <c r="J23">
        <v>98.45</v>
      </c>
      <c r="K23">
        <f t="shared" si="1"/>
        <v>9.845000000000001E-2</v>
      </c>
      <c r="L23">
        <v>125</v>
      </c>
      <c r="M23" s="4">
        <f t="shared" si="2"/>
        <v>355.48551568926189</v>
      </c>
      <c r="N23" s="4">
        <f t="shared" si="3"/>
        <v>34.997549019607838</v>
      </c>
    </row>
    <row r="24" spans="1:14">
      <c r="A24">
        <v>23</v>
      </c>
      <c r="B24">
        <v>7</v>
      </c>
      <c r="C24" t="s">
        <v>29</v>
      </c>
      <c r="D24" t="s">
        <v>7</v>
      </c>
      <c r="E24" t="s">
        <v>28</v>
      </c>
      <c r="F24" t="s">
        <v>25</v>
      </c>
      <c r="G24" s="3">
        <v>0.2394333333333333</v>
      </c>
      <c r="H24">
        <f t="shared" si="0"/>
        <v>30.756862745098033</v>
      </c>
      <c r="I24">
        <v>0.01</v>
      </c>
      <c r="J24">
        <v>101.02</v>
      </c>
      <c r="K24">
        <f t="shared" si="1"/>
        <v>0.10102</v>
      </c>
      <c r="L24">
        <v>125</v>
      </c>
      <c r="M24" s="4">
        <f t="shared" si="2"/>
        <v>380.57887974037362</v>
      </c>
      <c r="N24" s="4">
        <f t="shared" si="3"/>
        <v>38.446078431372541</v>
      </c>
    </row>
    <row r="25" spans="1:14">
      <c r="A25">
        <v>24</v>
      </c>
      <c r="B25">
        <v>8</v>
      </c>
      <c r="C25" t="s">
        <v>29</v>
      </c>
      <c r="D25" t="s">
        <v>3</v>
      </c>
      <c r="E25" t="s">
        <v>28</v>
      </c>
      <c r="F25" t="s">
        <v>25</v>
      </c>
      <c r="G25" s="3">
        <v>0.25293333333333329</v>
      </c>
      <c r="H25">
        <f t="shared" si="0"/>
        <v>32.345098039215678</v>
      </c>
      <c r="I25">
        <v>0.01</v>
      </c>
      <c r="J25">
        <v>104.58</v>
      </c>
      <c r="K25">
        <f t="shared" si="1"/>
        <v>0.10457999999999999</v>
      </c>
      <c r="L25">
        <v>125</v>
      </c>
      <c r="M25" s="4">
        <f t="shared" si="2"/>
        <v>386.60711942072675</v>
      </c>
      <c r="N25" s="4">
        <f t="shared" si="3"/>
        <v>40.431372549019599</v>
      </c>
    </row>
    <row r="26" spans="1:14">
      <c r="A26">
        <v>25</v>
      </c>
      <c r="B26">
        <v>9</v>
      </c>
      <c r="C26" t="s">
        <v>29</v>
      </c>
      <c r="D26" t="s">
        <v>5</v>
      </c>
      <c r="E26" t="s">
        <v>28</v>
      </c>
      <c r="F26" t="s">
        <v>25</v>
      </c>
      <c r="G26" s="3">
        <v>0.23877500000000002</v>
      </c>
      <c r="H26">
        <f t="shared" si="0"/>
        <v>30.679411764705883</v>
      </c>
      <c r="I26">
        <v>0.01</v>
      </c>
      <c r="J26">
        <v>103.82</v>
      </c>
      <c r="K26">
        <f t="shared" si="1"/>
        <v>0.10382</v>
      </c>
      <c r="L26">
        <v>125</v>
      </c>
      <c r="M26" s="4">
        <f t="shared" si="2"/>
        <v>369.38224528879175</v>
      </c>
      <c r="N26" s="4">
        <f t="shared" si="3"/>
        <v>38.349264705882355</v>
      </c>
    </row>
    <row r="27" spans="1:14">
      <c r="A27">
        <v>26</v>
      </c>
      <c r="B27">
        <v>10</v>
      </c>
      <c r="C27" t="s">
        <v>29</v>
      </c>
      <c r="D27" t="s">
        <v>1</v>
      </c>
      <c r="E27" t="s">
        <v>28</v>
      </c>
      <c r="F27" t="s">
        <v>25</v>
      </c>
      <c r="G27" s="3">
        <v>0.27150000000000002</v>
      </c>
      <c r="H27">
        <f t="shared" si="0"/>
        <v>34.529411764705884</v>
      </c>
      <c r="I27">
        <v>0.01</v>
      </c>
      <c r="J27">
        <v>104.88</v>
      </c>
      <c r="K27">
        <f t="shared" si="1"/>
        <v>0.10488</v>
      </c>
      <c r="L27">
        <v>125</v>
      </c>
      <c r="M27" s="4">
        <f t="shared" si="2"/>
        <v>411.53475120025126</v>
      </c>
      <c r="N27" s="4">
        <f t="shared" si="3"/>
        <v>43.161764705882355</v>
      </c>
    </row>
    <row r="28" spans="1:14">
      <c r="A28">
        <v>27</v>
      </c>
      <c r="B28">
        <v>11</v>
      </c>
      <c r="C28" t="s">
        <v>29</v>
      </c>
      <c r="D28" t="s">
        <v>3</v>
      </c>
      <c r="E28" t="s">
        <v>27</v>
      </c>
      <c r="F28" t="s">
        <v>25</v>
      </c>
      <c r="G28" s="3">
        <v>0.20628333333333329</v>
      </c>
      <c r="H28">
        <f t="shared" si="0"/>
        <v>26.856862745098031</v>
      </c>
      <c r="I28">
        <v>0.01</v>
      </c>
      <c r="J28">
        <v>102.97</v>
      </c>
      <c r="K28">
        <f t="shared" si="1"/>
        <v>0.10296999999999999</v>
      </c>
      <c r="L28">
        <v>125</v>
      </c>
      <c r="M28" s="4">
        <f t="shared" si="2"/>
        <v>326.02775984629062</v>
      </c>
      <c r="N28" s="4">
        <f t="shared" si="3"/>
        <v>33.571078431372541</v>
      </c>
    </row>
    <row r="29" spans="1:14">
      <c r="A29">
        <v>28</v>
      </c>
      <c r="B29">
        <v>12</v>
      </c>
      <c r="C29" t="s">
        <v>29</v>
      </c>
      <c r="D29" t="s">
        <v>7</v>
      </c>
      <c r="E29" t="s">
        <v>27</v>
      </c>
      <c r="F29" t="s">
        <v>25</v>
      </c>
      <c r="G29" s="3">
        <v>0.20984999999999998</v>
      </c>
      <c r="H29">
        <f t="shared" si="0"/>
        <v>27.276470588235288</v>
      </c>
      <c r="I29">
        <v>0.01</v>
      </c>
      <c r="J29">
        <v>104.14</v>
      </c>
      <c r="K29">
        <f t="shared" si="1"/>
        <v>0.10414</v>
      </c>
      <c r="L29">
        <v>125</v>
      </c>
      <c r="M29" s="4">
        <f t="shared" si="2"/>
        <v>327.40146183305279</v>
      </c>
      <c r="N29" s="4">
        <f t="shared" si="3"/>
        <v>34.095588235294116</v>
      </c>
    </row>
    <row r="30" spans="1:14">
      <c r="A30">
        <v>29</v>
      </c>
      <c r="B30">
        <v>13</v>
      </c>
      <c r="C30" t="s">
        <v>29</v>
      </c>
      <c r="D30" t="s">
        <v>1</v>
      </c>
      <c r="E30" t="s">
        <v>26</v>
      </c>
      <c r="F30" t="s">
        <v>25</v>
      </c>
      <c r="G30" s="3">
        <v>0.21893333333333334</v>
      </c>
      <c r="H30">
        <f t="shared" si="0"/>
        <v>28.345098039215685</v>
      </c>
      <c r="I30">
        <v>0.01</v>
      </c>
      <c r="J30">
        <v>104.76</v>
      </c>
      <c r="K30">
        <f t="shared" si="1"/>
        <v>0.10476000000000001</v>
      </c>
      <c r="L30">
        <v>125</v>
      </c>
      <c r="M30" s="4">
        <f t="shared" si="2"/>
        <v>338.21470550801462</v>
      </c>
      <c r="N30" s="4">
        <f t="shared" si="3"/>
        <v>35.431372549019613</v>
      </c>
    </row>
    <row r="31" spans="1:14">
      <c r="A31">
        <v>30</v>
      </c>
      <c r="B31">
        <v>14</v>
      </c>
      <c r="C31" t="s">
        <v>29</v>
      </c>
      <c r="D31" t="s">
        <v>5</v>
      </c>
      <c r="E31" t="s">
        <v>26</v>
      </c>
      <c r="F31" t="s">
        <v>25</v>
      </c>
      <c r="G31" s="3">
        <v>0.21575000000000003</v>
      </c>
      <c r="H31">
        <f t="shared" si="0"/>
        <v>27.970588235294116</v>
      </c>
      <c r="I31">
        <v>0.01</v>
      </c>
      <c r="J31">
        <v>103.24</v>
      </c>
      <c r="K31">
        <f t="shared" si="1"/>
        <v>0.10324</v>
      </c>
      <c r="L31">
        <v>125</v>
      </c>
      <c r="M31" s="4">
        <f t="shared" si="2"/>
        <v>338.65977619253829</v>
      </c>
      <c r="N31" s="4">
        <f t="shared" si="3"/>
        <v>34.963235294117652</v>
      </c>
    </row>
    <row r="32" spans="1:14">
      <c r="A32">
        <v>31</v>
      </c>
      <c r="B32">
        <v>15</v>
      </c>
      <c r="C32" t="s">
        <v>29</v>
      </c>
      <c r="D32" t="s">
        <v>7</v>
      </c>
      <c r="E32" t="s">
        <v>24</v>
      </c>
      <c r="F32" t="s">
        <v>25</v>
      </c>
      <c r="G32" s="3">
        <v>0.17951666666666669</v>
      </c>
      <c r="H32">
        <f t="shared" si="0"/>
        <v>23.707843137254901</v>
      </c>
      <c r="I32">
        <v>0.01</v>
      </c>
      <c r="J32">
        <v>98.11</v>
      </c>
      <c r="K32">
        <f t="shared" si="1"/>
        <v>9.8110000000000003E-2</v>
      </c>
      <c r="L32">
        <v>125</v>
      </c>
      <c r="M32" s="4">
        <f t="shared" si="2"/>
        <v>302.05691490743686</v>
      </c>
      <c r="N32" s="4">
        <f t="shared" si="3"/>
        <v>29.634803921568629</v>
      </c>
    </row>
    <row r="33" spans="1:14">
      <c r="A33">
        <v>32</v>
      </c>
      <c r="B33">
        <v>16</v>
      </c>
      <c r="C33" t="s">
        <v>29</v>
      </c>
      <c r="D33" t="s">
        <v>3</v>
      </c>
      <c r="E33" t="s">
        <v>24</v>
      </c>
      <c r="F33" t="s">
        <v>25</v>
      </c>
      <c r="G33" s="3">
        <v>0.23493333333333333</v>
      </c>
      <c r="H33">
        <f t="shared" si="0"/>
        <v>30.227450980392156</v>
      </c>
      <c r="I33">
        <v>0.01</v>
      </c>
      <c r="J33">
        <v>101.8</v>
      </c>
      <c r="K33">
        <f t="shared" si="1"/>
        <v>0.1018</v>
      </c>
      <c r="L33">
        <v>125</v>
      </c>
      <c r="M33" s="4">
        <f t="shared" si="2"/>
        <v>371.16221734273273</v>
      </c>
      <c r="N33" s="4">
        <f t="shared" si="3"/>
        <v>37.784313725490193</v>
      </c>
    </row>
    <row r="34" spans="1:14">
      <c r="A34">
        <v>33</v>
      </c>
      <c r="B34">
        <v>1</v>
      </c>
      <c r="C34" t="s">
        <v>23</v>
      </c>
      <c r="D34" t="s">
        <v>1</v>
      </c>
      <c r="E34" t="s">
        <v>24</v>
      </c>
      <c r="F34" t="s">
        <v>30</v>
      </c>
      <c r="G34" s="3">
        <v>0.29785</v>
      </c>
      <c r="H34">
        <f t="shared" si="0"/>
        <v>37.629411764705885</v>
      </c>
      <c r="I34">
        <v>0.01</v>
      </c>
      <c r="J34">
        <v>101.61</v>
      </c>
      <c r="K34">
        <f t="shared" si="1"/>
        <v>0.10161000000000001</v>
      </c>
      <c r="L34">
        <v>125</v>
      </c>
      <c r="M34" s="4">
        <f t="shared" si="2"/>
        <v>462.91472006576475</v>
      </c>
      <c r="N34" s="4">
        <f t="shared" si="3"/>
        <v>47.036764705882362</v>
      </c>
    </row>
    <row r="35" spans="1:14">
      <c r="A35">
        <v>34</v>
      </c>
      <c r="B35">
        <v>2</v>
      </c>
      <c r="C35" t="s">
        <v>23</v>
      </c>
      <c r="D35" t="s">
        <v>5</v>
      </c>
      <c r="E35" t="s">
        <v>24</v>
      </c>
      <c r="F35" t="s">
        <v>30</v>
      </c>
      <c r="G35" s="3">
        <v>0.12673333333333334</v>
      </c>
      <c r="H35">
        <f t="shared" si="0"/>
        <v>17.498039215686273</v>
      </c>
      <c r="I35">
        <v>0.01</v>
      </c>
      <c r="J35">
        <v>100.89</v>
      </c>
      <c r="K35">
        <f t="shared" si="1"/>
        <v>0.10089000000000001</v>
      </c>
      <c r="L35">
        <v>125</v>
      </c>
      <c r="M35" s="4">
        <f t="shared" si="2"/>
        <v>216.79600574494836</v>
      </c>
      <c r="N35" s="4">
        <f t="shared" si="3"/>
        <v>21.872549019607842</v>
      </c>
    </row>
    <row r="36" spans="1:14">
      <c r="A36">
        <v>35</v>
      </c>
      <c r="B36">
        <v>3</v>
      </c>
      <c r="C36" t="s">
        <v>23</v>
      </c>
      <c r="D36" t="s">
        <v>3</v>
      </c>
      <c r="E36" t="s">
        <v>26</v>
      </c>
      <c r="F36" t="s">
        <v>30</v>
      </c>
      <c r="G36" s="3">
        <v>0.18831666666666669</v>
      </c>
      <c r="H36">
        <f t="shared" si="0"/>
        <v>24.74313725490196</v>
      </c>
      <c r="I36">
        <v>0.01</v>
      </c>
      <c r="J36">
        <v>101.97</v>
      </c>
      <c r="K36">
        <f t="shared" si="1"/>
        <v>0.10197000000000001</v>
      </c>
      <c r="L36">
        <v>125</v>
      </c>
      <c r="M36" s="4">
        <f t="shared" si="2"/>
        <v>303.31393124083013</v>
      </c>
      <c r="N36" s="4">
        <f t="shared" si="3"/>
        <v>30.928921568627452</v>
      </c>
    </row>
    <row r="37" spans="1:14">
      <c r="A37">
        <v>36</v>
      </c>
      <c r="B37">
        <v>4</v>
      </c>
      <c r="C37" t="s">
        <v>23</v>
      </c>
      <c r="D37" t="s">
        <v>7</v>
      </c>
      <c r="E37" t="s">
        <v>26</v>
      </c>
      <c r="F37" t="s">
        <v>30</v>
      </c>
      <c r="G37" s="3">
        <v>0.13813333333333336</v>
      </c>
      <c r="H37">
        <f t="shared" si="0"/>
        <v>18.83921568627451</v>
      </c>
      <c r="I37">
        <v>0.01</v>
      </c>
      <c r="J37">
        <v>97.98</v>
      </c>
      <c r="K37">
        <f t="shared" si="1"/>
        <v>9.7979999999999998E-2</v>
      </c>
      <c r="L37">
        <v>125</v>
      </c>
      <c r="M37" s="4">
        <f t="shared" si="2"/>
        <v>240.34516848176301</v>
      </c>
      <c r="N37" s="4">
        <f t="shared" si="3"/>
        <v>23.549019607843139</v>
      </c>
    </row>
    <row r="38" spans="1:14">
      <c r="A38">
        <v>37</v>
      </c>
      <c r="B38">
        <v>5</v>
      </c>
      <c r="C38" t="s">
        <v>23</v>
      </c>
      <c r="D38" t="s">
        <v>5</v>
      </c>
      <c r="E38" t="s">
        <v>27</v>
      </c>
      <c r="F38" t="s">
        <v>30</v>
      </c>
      <c r="G38" s="3">
        <v>0.13821666666666665</v>
      </c>
      <c r="H38">
        <f t="shared" si="0"/>
        <v>18.849019607843132</v>
      </c>
      <c r="I38">
        <v>0.01</v>
      </c>
      <c r="J38">
        <v>99.87</v>
      </c>
      <c r="K38">
        <f t="shared" si="1"/>
        <v>9.987E-2</v>
      </c>
      <c r="L38">
        <v>125</v>
      </c>
      <c r="M38" s="4">
        <f t="shared" si="2"/>
        <v>235.91944037052085</v>
      </c>
      <c r="N38" s="4">
        <f t="shared" si="3"/>
        <v>23.561274509803916</v>
      </c>
    </row>
    <row r="39" spans="1:14">
      <c r="A39">
        <v>38</v>
      </c>
      <c r="B39">
        <v>6</v>
      </c>
      <c r="C39" t="s">
        <v>23</v>
      </c>
      <c r="D39" t="s">
        <v>1</v>
      </c>
      <c r="E39" t="s">
        <v>27</v>
      </c>
      <c r="F39" t="s">
        <v>30</v>
      </c>
      <c r="G39" s="3">
        <v>0.15238333333333332</v>
      </c>
      <c r="H39">
        <f t="shared" si="0"/>
        <v>20.5156862745098</v>
      </c>
      <c r="I39">
        <v>0.01</v>
      </c>
      <c r="J39">
        <v>104.75</v>
      </c>
      <c r="K39">
        <f t="shared" si="1"/>
        <v>0.10475</v>
      </c>
      <c r="L39">
        <v>125</v>
      </c>
      <c r="M39" s="4">
        <f t="shared" si="2"/>
        <v>244.81725864570168</v>
      </c>
      <c r="N39" s="4">
        <f t="shared" si="3"/>
        <v>25.644607843137251</v>
      </c>
    </row>
    <row r="40" spans="1:14">
      <c r="A40">
        <v>39</v>
      </c>
      <c r="B40">
        <v>7</v>
      </c>
      <c r="C40" t="s">
        <v>23</v>
      </c>
      <c r="D40" t="s">
        <v>7</v>
      </c>
      <c r="E40" t="s">
        <v>28</v>
      </c>
      <c r="F40" t="s">
        <v>30</v>
      </c>
      <c r="G40" s="3">
        <v>0.15926666666666667</v>
      </c>
      <c r="H40">
        <f t="shared" si="0"/>
        <v>21.32549019607843</v>
      </c>
      <c r="I40">
        <v>0.01</v>
      </c>
      <c r="J40">
        <v>103.08</v>
      </c>
      <c r="K40">
        <f t="shared" si="1"/>
        <v>0.10308</v>
      </c>
      <c r="L40">
        <v>125</v>
      </c>
      <c r="M40" s="4">
        <f t="shared" si="2"/>
        <v>258.60363547825028</v>
      </c>
      <c r="N40" s="4">
        <f t="shared" si="3"/>
        <v>26.656862745098039</v>
      </c>
    </row>
    <row r="41" spans="1:14">
      <c r="A41">
        <v>40</v>
      </c>
      <c r="B41">
        <v>8</v>
      </c>
      <c r="C41" t="s">
        <v>23</v>
      </c>
      <c r="D41" t="s">
        <v>3</v>
      </c>
      <c r="E41" t="s">
        <v>28</v>
      </c>
      <c r="F41" t="s">
        <v>30</v>
      </c>
      <c r="G41" s="3">
        <v>0.12061666666666671</v>
      </c>
      <c r="H41">
        <f t="shared" si="0"/>
        <v>16.778431372549022</v>
      </c>
      <c r="I41">
        <v>0.01</v>
      </c>
      <c r="J41">
        <v>104.46</v>
      </c>
      <c r="K41">
        <f t="shared" si="1"/>
        <v>0.10446</v>
      </c>
      <c r="L41">
        <v>125</v>
      </c>
      <c r="M41" s="4">
        <f t="shared" si="2"/>
        <v>200.77579184076467</v>
      </c>
      <c r="N41" s="4">
        <f t="shared" si="3"/>
        <v>20.973039215686278</v>
      </c>
    </row>
    <row r="42" spans="1:14">
      <c r="A42">
        <v>41</v>
      </c>
      <c r="B42">
        <v>9</v>
      </c>
      <c r="C42" t="s">
        <v>23</v>
      </c>
      <c r="D42" t="s">
        <v>5</v>
      </c>
      <c r="E42" t="s">
        <v>28</v>
      </c>
      <c r="F42" t="s">
        <v>30</v>
      </c>
      <c r="G42" s="3">
        <v>0.14230000000000001</v>
      </c>
      <c r="H42">
        <f t="shared" si="0"/>
        <v>19.329411764705881</v>
      </c>
      <c r="I42">
        <v>0.01</v>
      </c>
      <c r="J42">
        <v>103.27</v>
      </c>
      <c r="K42">
        <f t="shared" si="1"/>
        <v>0.10327</v>
      </c>
      <c r="L42">
        <v>125</v>
      </c>
      <c r="M42" s="4">
        <f t="shared" si="2"/>
        <v>233.96692849697251</v>
      </c>
      <c r="N42" s="4">
        <f t="shared" si="3"/>
        <v>24.161764705882351</v>
      </c>
    </row>
    <row r="43" spans="1:14">
      <c r="A43">
        <v>42</v>
      </c>
      <c r="B43">
        <v>10</v>
      </c>
      <c r="C43" t="s">
        <v>23</v>
      </c>
      <c r="D43" t="s">
        <v>1</v>
      </c>
      <c r="E43" t="s">
        <v>28</v>
      </c>
      <c r="F43" t="s">
        <v>30</v>
      </c>
      <c r="G43" s="3">
        <v>0.13356666666666667</v>
      </c>
      <c r="H43">
        <f t="shared" si="0"/>
        <v>18.301960784313724</v>
      </c>
      <c r="I43">
        <v>0.01</v>
      </c>
      <c r="J43">
        <v>103.87</v>
      </c>
      <c r="K43">
        <f t="shared" si="1"/>
        <v>0.10387</v>
      </c>
      <c r="L43">
        <v>125</v>
      </c>
      <c r="M43" s="4">
        <f t="shared" si="2"/>
        <v>220.25080370070432</v>
      </c>
      <c r="N43" s="4">
        <f t="shared" si="3"/>
        <v>22.877450980392158</v>
      </c>
    </row>
    <row r="44" spans="1:14">
      <c r="A44">
        <v>43</v>
      </c>
      <c r="B44">
        <v>11</v>
      </c>
      <c r="C44" t="s">
        <v>23</v>
      </c>
      <c r="D44" t="s">
        <v>3</v>
      </c>
      <c r="E44" t="s">
        <v>27</v>
      </c>
      <c r="F44" t="s">
        <v>30</v>
      </c>
      <c r="G44" s="3">
        <v>0.16075</v>
      </c>
      <c r="H44">
        <f t="shared" si="0"/>
        <v>21.499999999999996</v>
      </c>
      <c r="I44">
        <v>0.01</v>
      </c>
      <c r="J44">
        <v>103.12</v>
      </c>
      <c r="K44">
        <f t="shared" si="1"/>
        <v>0.10312</v>
      </c>
      <c r="L44">
        <v>125</v>
      </c>
      <c r="M44" s="4">
        <f t="shared" si="2"/>
        <v>260.61869666408063</v>
      </c>
      <c r="N44" s="4">
        <f t="shared" si="3"/>
        <v>26.874999999999996</v>
      </c>
    </row>
    <row r="45" spans="1:14">
      <c r="A45">
        <v>44</v>
      </c>
      <c r="B45">
        <v>12</v>
      </c>
      <c r="C45" t="s">
        <v>23</v>
      </c>
      <c r="D45" t="s">
        <v>7</v>
      </c>
      <c r="E45" t="s">
        <v>27</v>
      </c>
      <c r="F45" t="s">
        <v>30</v>
      </c>
      <c r="G45" s="3">
        <v>0.16358333333333333</v>
      </c>
      <c r="H45">
        <f t="shared" si="0"/>
        <v>21.833333333333332</v>
      </c>
      <c r="I45">
        <v>0.01</v>
      </c>
      <c r="J45">
        <v>101.46</v>
      </c>
      <c r="K45">
        <f t="shared" si="1"/>
        <v>0.10145999999999999</v>
      </c>
      <c r="L45">
        <v>125</v>
      </c>
      <c r="M45" s="4">
        <f t="shared" si="2"/>
        <v>268.9894211183389</v>
      </c>
      <c r="N45" s="4">
        <f t="shared" si="3"/>
        <v>27.291666666666664</v>
      </c>
    </row>
    <row r="46" spans="1:14">
      <c r="A46">
        <v>45</v>
      </c>
      <c r="B46">
        <v>13</v>
      </c>
      <c r="C46" t="s">
        <v>23</v>
      </c>
      <c r="D46" t="s">
        <v>1</v>
      </c>
      <c r="E46" t="s">
        <v>26</v>
      </c>
      <c r="F46" t="s">
        <v>30</v>
      </c>
      <c r="G46" s="3">
        <v>0.16228333333333336</v>
      </c>
      <c r="H46">
        <f t="shared" si="0"/>
        <v>21.680392156862744</v>
      </c>
      <c r="I46">
        <v>0.01</v>
      </c>
      <c r="J46">
        <v>103.38</v>
      </c>
      <c r="K46">
        <f t="shared" si="1"/>
        <v>0.10338</v>
      </c>
      <c r="L46">
        <v>125</v>
      </c>
      <c r="M46" s="4">
        <f t="shared" si="2"/>
        <v>262.14442054631877</v>
      </c>
      <c r="N46" s="4">
        <f t="shared" si="3"/>
        <v>27.100490196078432</v>
      </c>
    </row>
    <row r="47" spans="1:14">
      <c r="A47">
        <v>46</v>
      </c>
      <c r="B47">
        <v>14</v>
      </c>
      <c r="C47" t="s">
        <v>23</v>
      </c>
      <c r="D47" t="s">
        <v>5</v>
      </c>
      <c r="E47" t="s">
        <v>26</v>
      </c>
      <c r="F47" t="s">
        <v>30</v>
      </c>
      <c r="G47" s="3">
        <v>0.20136666666666667</v>
      </c>
      <c r="H47">
        <f t="shared" si="0"/>
        <v>26.278431372549015</v>
      </c>
      <c r="I47">
        <v>0.01</v>
      </c>
      <c r="J47">
        <v>104.2</v>
      </c>
      <c r="K47">
        <f t="shared" si="1"/>
        <v>0.1042</v>
      </c>
      <c r="L47">
        <v>125</v>
      </c>
      <c r="M47" s="4">
        <f t="shared" si="2"/>
        <v>315.2402995747243</v>
      </c>
      <c r="N47" s="4">
        <f t="shared" si="3"/>
        <v>32.848039215686271</v>
      </c>
    </row>
    <row r="48" spans="1:14">
      <c r="A48">
        <v>47</v>
      </c>
      <c r="B48">
        <v>15</v>
      </c>
      <c r="C48" t="s">
        <v>23</v>
      </c>
      <c r="D48" t="s">
        <v>7</v>
      </c>
      <c r="E48" t="s">
        <v>24</v>
      </c>
      <c r="F48" t="s">
        <v>30</v>
      </c>
      <c r="G48" s="3">
        <v>0.16793333333333335</v>
      </c>
      <c r="H48">
        <f t="shared" si="0"/>
        <v>22.345098039215685</v>
      </c>
      <c r="I48">
        <v>0.01</v>
      </c>
      <c r="J48">
        <v>102.74</v>
      </c>
      <c r="K48">
        <f t="shared" si="1"/>
        <v>0.10274</v>
      </c>
      <c r="L48">
        <v>125</v>
      </c>
      <c r="M48" s="4">
        <f t="shared" si="2"/>
        <v>271.86463450476549</v>
      </c>
      <c r="N48" s="4">
        <f t="shared" si="3"/>
        <v>27.931372549019606</v>
      </c>
    </row>
    <row r="49" spans="1:14">
      <c r="A49">
        <v>48</v>
      </c>
      <c r="B49">
        <v>16</v>
      </c>
      <c r="C49" t="s">
        <v>23</v>
      </c>
      <c r="D49" t="s">
        <v>3</v>
      </c>
      <c r="E49" t="s">
        <v>24</v>
      </c>
      <c r="F49" t="s">
        <v>30</v>
      </c>
      <c r="G49" s="3">
        <v>0.19614999999999996</v>
      </c>
      <c r="H49">
        <f t="shared" si="0"/>
        <v>25.664705882352933</v>
      </c>
      <c r="I49">
        <v>0.01</v>
      </c>
      <c r="J49">
        <v>95.79</v>
      </c>
      <c r="K49">
        <f t="shared" si="1"/>
        <v>9.579E-2</v>
      </c>
      <c r="L49">
        <v>125</v>
      </c>
      <c r="M49" s="4">
        <f t="shared" si="2"/>
        <v>334.90847012152801</v>
      </c>
      <c r="N49" s="4">
        <f t="shared" si="3"/>
        <v>32.080882352941167</v>
      </c>
    </row>
    <row r="50" spans="1:14">
      <c r="A50">
        <v>49</v>
      </c>
      <c r="B50">
        <v>1</v>
      </c>
      <c r="C50" t="s">
        <v>29</v>
      </c>
      <c r="D50" t="s">
        <v>1</v>
      </c>
      <c r="E50" t="s">
        <v>24</v>
      </c>
      <c r="F50" t="s">
        <v>30</v>
      </c>
      <c r="G50" s="3">
        <v>0.19983333333333331</v>
      </c>
      <c r="H50">
        <f t="shared" si="0"/>
        <v>26.098039215686267</v>
      </c>
      <c r="I50">
        <v>0.01</v>
      </c>
      <c r="J50">
        <v>98.42</v>
      </c>
      <c r="K50">
        <f t="shared" si="1"/>
        <v>9.8420000000000007E-2</v>
      </c>
      <c r="L50">
        <v>125</v>
      </c>
      <c r="M50" s="4">
        <f t="shared" si="2"/>
        <v>331.4625992644568</v>
      </c>
      <c r="N50" s="4">
        <f t="shared" si="3"/>
        <v>32.622549019607838</v>
      </c>
    </row>
    <row r="51" spans="1:14">
      <c r="A51">
        <v>50</v>
      </c>
      <c r="B51">
        <v>2</v>
      </c>
      <c r="C51" t="s">
        <v>29</v>
      </c>
      <c r="D51" t="s">
        <v>5</v>
      </c>
      <c r="E51" t="s">
        <v>24</v>
      </c>
      <c r="F51" t="s">
        <v>30</v>
      </c>
      <c r="G51" s="3">
        <v>0.31351666666666672</v>
      </c>
      <c r="H51">
        <f t="shared" si="0"/>
        <v>39.472549019607847</v>
      </c>
      <c r="I51">
        <v>0.01</v>
      </c>
      <c r="J51">
        <v>104.97</v>
      </c>
      <c r="K51">
        <f t="shared" si="1"/>
        <v>0.10496999999999999</v>
      </c>
      <c r="L51">
        <v>125</v>
      </c>
      <c r="M51" s="4">
        <f t="shared" si="2"/>
        <v>470.04559659435853</v>
      </c>
      <c r="N51" s="4">
        <f t="shared" si="3"/>
        <v>49.340686274509814</v>
      </c>
    </row>
    <row r="52" spans="1:14">
      <c r="A52">
        <v>51</v>
      </c>
      <c r="B52">
        <v>3</v>
      </c>
      <c r="C52" t="s">
        <v>29</v>
      </c>
      <c r="D52" t="s">
        <v>3</v>
      </c>
      <c r="E52" t="s">
        <v>26</v>
      </c>
      <c r="F52" t="s">
        <v>30</v>
      </c>
      <c r="G52" s="3">
        <v>0.20373333333333332</v>
      </c>
      <c r="H52">
        <f t="shared" si="0"/>
        <v>26.556862745098034</v>
      </c>
      <c r="I52">
        <v>0.01</v>
      </c>
      <c r="J52">
        <v>103.58</v>
      </c>
      <c r="K52">
        <f t="shared" si="1"/>
        <v>0.10357999999999999</v>
      </c>
      <c r="L52">
        <v>125</v>
      </c>
      <c r="M52" s="4">
        <f t="shared" si="2"/>
        <v>320.48733762669002</v>
      </c>
      <c r="N52" s="4">
        <f t="shared" si="3"/>
        <v>33.196078431372548</v>
      </c>
    </row>
    <row r="53" spans="1:14">
      <c r="A53">
        <v>52</v>
      </c>
      <c r="B53">
        <v>4</v>
      </c>
      <c r="C53" t="s">
        <v>29</v>
      </c>
      <c r="D53" t="s">
        <v>7</v>
      </c>
      <c r="E53" t="s">
        <v>26</v>
      </c>
      <c r="F53" t="s">
        <v>30</v>
      </c>
      <c r="G53" s="3">
        <v>0.37598333333333334</v>
      </c>
      <c r="H53">
        <f t="shared" si="0"/>
        <v>46.821568627450979</v>
      </c>
      <c r="I53">
        <v>0.01</v>
      </c>
      <c r="J53">
        <v>101.23</v>
      </c>
      <c r="K53">
        <f t="shared" si="1"/>
        <v>0.10123</v>
      </c>
      <c r="L53">
        <v>125</v>
      </c>
      <c r="M53" s="4">
        <f t="shared" si="2"/>
        <v>578.15826123000818</v>
      </c>
      <c r="N53" s="4">
        <f t="shared" si="3"/>
        <v>58.526960784313729</v>
      </c>
    </row>
    <row r="54" spans="1:14">
      <c r="A54">
        <v>53</v>
      </c>
      <c r="B54">
        <v>5</v>
      </c>
      <c r="C54" t="s">
        <v>29</v>
      </c>
      <c r="D54" t="s">
        <v>5</v>
      </c>
      <c r="E54" t="s">
        <v>27</v>
      </c>
      <c r="F54" t="s">
        <v>30</v>
      </c>
      <c r="G54" s="3">
        <v>0.10215</v>
      </c>
      <c r="H54">
        <f t="shared" si="0"/>
        <v>14.605882352941176</v>
      </c>
      <c r="I54">
        <v>1.4999999999999999E-2</v>
      </c>
      <c r="J54">
        <v>103.21</v>
      </c>
      <c r="K54">
        <f t="shared" si="1"/>
        <v>0.10321</v>
      </c>
      <c r="L54">
        <v>125</v>
      </c>
      <c r="M54" s="4">
        <f t="shared" si="2"/>
        <v>265.34279054127222</v>
      </c>
      <c r="N54" s="4">
        <f t="shared" si="3"/>
        <v>27.386029411764707</v>
      </c>
    </row>
    <row r="55" spans="1:14">
      <c r="A55">
        <v>54</v>
      </c>
      <c r="B55">
        <v>6</v>
      </c>
      <c r="C55" t="s">
        <v>29</v>
      </c>
      <c r="D55" t="s">
        <v>1</v>
      </c>
      <c r="E55" t="s">
        <v>27</v>
      </c>
      <c r="F55" t="s">
        <v>30</v>
      </c>
      <c r="G55" s="3">
        <v>0.15421666666666667</v>
      </c>
      <c r="H55">
        <f t="shared" si="0"/>
        <v>20.731372549019607</v>
      </c>
      <c r="I55">
        <v>0.01</v>
      </c>
      <c r="J55">
        <v>103.56</v>
      </c>
      <c r="K55">
        <f t="shared" si="1"/>
        <v>0.10356</v>
      </c>
      <c r="L55">
        <v>125</v>
      </c>
      <c r="M55" s="4">
        <f t="shared" si="2"/>
        <v>250.23383242829769</v>
      </c>
      <c r="N55" s="4">
        <f t="shared" si="3"/>
        <v>25.91421568627451</v>
      </c>
    </row>
    <row r="56" spans="1:14">
      <c r="A56">
        <v>55</v>
      </c>
      <c r="B56">
        <v>7</v>
      </c>
      <c r="C56" t="s">
        <v>29</v>
      </c>
      <c r="D56" t="s">
        <v>7</v>
      </c>
      <c r="E56" t="s">
        <v>28</v>
      </c>
      <c r="F56" t="s">
        <v>30</v>
      </c>
      <c r="G56" s="3">
        <v>0.18820000000000001</v>
      </c>
      <c r="H56">
        <f t="shared" si="0"/>
        <v>24.72941176470588</v>
      </c>
      <c r="I56">
        <v>0.01</v>
      </c>
      <c r="J56">
        <v>99.23</v>
      </c>
      <c r="K56">
        <f t="shared" si="1"/>
        <v>9.9229999999999999E-2</v>
      </c>
      <c r="L56">
        <v>125</v>
      </c>
      <c r="M56" s="4">
        <f t="shared" si="2"/>
        <v>311.51632274395195</v>
      </c>
      <c r="N56" s="4">
        <f t="shared" si="3"/>
        <v>30.911764705882351</v>
      </c>
    </row>
    <row r="57" spans="1:14">
      <c r="A57">
        <v>56</v>
      </c>
      <c r="B57">
        <v>8</v>
      </c>
      <c r="C57" t="s">
        <v>29</v>
      </c>
      <c r="D57" t="s">
        <v>3</v>
      </c>
      <c r="E57" t="s">
        <v>28</v>
      </c>
      <c r="F57" t="s">
        <v>30</v>
      </c>
      <c r="G57" s="3">
        <v>0.15460000000000002</v>
      </c>
      <c r="H57">
        <f t="shared" si="0"/>
        <v>20.776470588235295</v>
      </c>
      <c r="I57">
        <v>0.01</v>
      </c>
      <c r="J57">
        <v>104.02</v>
      </c>
      <c r="K57">
        <f t="shared" si="1"/>
        <v>0.10402</v>
      </c>
      <c r="L57">
        <v>125</v>
      </c>
      <c r="M57" s="4">
        <f t="shared" si="2"/>
        <v>249.66918126604614</v>
      </c>
      <c r="N57" s="4">
        <f t="shared" si="3"/>
        <v>25.97058823529412</v>
      </c>
    </row>
    <row r="58" spans="1:14">
      <c r="A58">
        <v>57</v>
      </c>
      <c r="B58">
        <v>9</v>
      </c>
      <c r="C58" t="s">
        <v>29</v>
      </c>
      <c r="D58" t="s">
        <v>5</v>
      </c>
      <c r="E58" t="s">
        <v>28</v>
      </c>
      <c r="F58" t="s">
        <v>30</v>
      </c>
      <c r="G58" s="3">
        <v>0.27850000000000003</v>
      </c>
      <c r="H58">
        <f t="shared" si="0"/>
        <v>35.352941176470594</v>
      </c>
      <c r="I58">
        <v>0.01</v>
      </c>
      <c r="J58">
        <v>96.47</v>
      </c>
      <c r="K58">
        <f t="shared" si="1"/>
        <v>9.647E-2</v>
      </c>
      <c r="L58">
        <v>125</v>
      </c>
      <c r="M58" s="4">
        <f t="shared" si="2"/>
        <v>458.08206147598463</v>
      </c>
      <c r="N58" s="4">
        <f t="shared" si="3"/>
        <v>44.191176470588239</v>
      </c>
    </row>
    <row r="59" spans="1:14">
      <c r="A59">
        <v>58</v>
      </c>
      <c r="B59">
        <v>10</v>
      </c>
      <c r="C59" t="s">
        <v>29</v>
      </c>
      <c r="D59" t="s">
        <v>1</v>
      </c>
      <c r="E59" t="s">
        <v>28</v>
      </c>
      <c r="F59" t="s">
        <v>30</v>
      </c>
      <c r="G59" s="3">
        <v>0.21645</v>
      </c>
      <c r="H59">
        <f t="shared" si="0"/>
        <v>28.052941176470586</v>
      </c>
      <c r="I59">
        <v>0.01</v>
      </c>
      <c r="J59">
        <v>96.22</v>
      </c>
      <c r="K59">
        <f t="shared" si="1"/>
        <v>9.622E-2</v>
      </c>
      <c r="L59">
        <v>125</v>
      </c>
      <c r="M59" s="4">
        <f t="shared" si="2"/>
        <v>364.43750229254033</v>
      </c>
      <c r="N59" s="4">
        <f t="shared" si="3"/>
        <v>35.066176470588232</v>
      </c>
    </row>
    <row r="60" spans="1:14">
      <c r="A60">
        <v>59</v>
      </c>
      <c r="B60">
        <v>11</v>
      </c>
      <c r="C60" t="s">
        <v>29</v>
      </c>
      <c r="D60" t="s">
        <v>3</v>
      </c>
      <c r="E60" t="s">
        <v>27</v>
      </c>
      <c r="F60" t="s">
        <v>30</v>
      </c>
      <c r="G60" s="3">
        <v>0.2364833333333333</v>
      </c>
      <c r="H60">
        <f t="shared" si="0"/>
        <v>30.409803921568621</v>
      </c>
      <c r="I60">
        <v>0.01</v>
      </c>
      <c r="J60">
        <v>102.84</v>
      </c>
      <c r="K60">
        <f t="shared" si="1"/>
        <v>0.10284</v>
      </c>
      <c r="L60">
        <v>125</v>
      </c>
      <c r="M60" s="4">
        <f t="shared" si="2"/>
        <v>369.62519352353928</v>
      </c>
      <c r="N60" s="4">
        <f t="shared" si="3"/>
        <v>38.01225490196078</v>
      </c>
    </row>
    <row r="61" spans="1:14">
      <c r="A61">
        <v>60</v>
      </c>
      <c r="B61">
        <v>12</v>
      </c>
      <c r="C61" t="s">
        <v>29</v>
      </c>
      <c r="D61" t="s">
        <v>7</v>
      </c>
      <c r="E61" t="s">
        <v>27</v>
      </c>
      <c r="F61" t="s">
        <v>30</v>
      </c>
      <c r="G61" s="3">
        <v>0.17481666666666665</v>
      </c>
      <c r="H61">
        <f t="shared" si="0"/>
        <v>23.154901960784308</v>
      </c>
      <c r="I61">
        <v>0.01</v>
      </c>
      <c r="J61">
        <v>98.43</v>
      </c>
      <c r="K61">
        <f t="shared" si="1"/>
        <v>9.8430000000000004E-2</v>
      </c>
      <c r="L61">
        <v>125</v>
      </c>
      <c r="M61" s="4">
        <f t="shared" si="2"/>
        <v>294.05290512019081</v>
      </c>
      <c r="N61" s="4">
        <f t="shared" si="3"/>
        <v>28.943627450980383</v>
      </c>
    </row>
    <row r="62" spans="1:14">
      <c r="A62">
        <v>61</v>
      </c>
      <c r="B62">
        <v>13</v>
      </c>
      <c r="C62" t="s">
        <v>29</v>
      </c>
      <c r="D62" t="s">
        <v>1</v>
      </c>
      <c r="E62" t="s">
        <v>26</v>
      </c>
      <c r="F62" t="s">
        <v>30</v>
      </c>
      <c r="G62" s="3">
        <v>0.20146666666666668</v>
      </c>
      <c r="H62">
        <f t="shared" si="0"/>
        <v>26.290196078431372</v>
      </c>
      <c r="I62">
        <v>0.01</v>
      </c>
      <c r="J62">
        <v>100.62</v>
      </c>
      <c r="K62">
        <f t="shared" si="1"/>
        <v>0.10062</v>
      </c>
      <c r="L62">
        <v>125</v>
      </c>
      <c r="M62" s="4">
        <f t="shared" si="2"/>
        <v>326.60251538500506</v>
      </c>
      <c r="N62" s="4">
        <f t="shared" si="3"/>
        <v>32.862745098039213</v>
      </c>
    </row>
    <row r="63" spans="1:14">
      <c r="A63">
        <v>62</v>
      </c>
      <c r="B63">
        <v>14</v>
      </c>
      <c r="C63" t="s">
        <v>29</v>
      </c>
      <c r="D63" t="s">
        <v>5</v>
      </c>
      <c r="E63" t="s">
        <v>26</v>
      </c>
      <c r="F63" t="s">
        <v>30</v>
      </c>
      <c r="G63" s="3">
        <v>0.22475000000000001</v>
      </c>
      <c r="H63">
        <f t="shared" si="0"/>
        <v>29.02941176470588</v>
      </c>
      <c r="I63">
        <v>0.01</v>
      </c>
      <c r="J63">
        <v>101.72</v>
      </c>
      <c r="K63">
        <f t="shared" si="1"/>
        <v>0.10172</v>
      </c>
      <c r="L63">
        <v>125</v>
      </c>
      <c r="M63" s="4">
        <f t="shared" si="2"/>
        <v>356.73185908260274</v>
      </c>
      <c r="N63" s="4">
        <f t="shared" si="3"/>
        <v>36.286764705882355</v>
      </c>
    </row>
    <row r="64" spans="1:14">
      <c r="A64">
        <v>63</v>
      </c>
      <c r="B64">
        <v>15</v>
      </c>
      <c r="C64" t="s">
        <v>29</v>
      </c>
      <c r="D64" t="s">
        <v>7</v>
      </c>
      <c r="E64" t="s">
        <v>24</v>
      </c>
      <c r="F64" t="s">
        <v>30</v>
      </c>
      <c r="G64" s="3">
        <v>0.20435</v>
      </c>
      <c r="H64">
        <f t="shared" si="0"/>
        <v>26.629411764705878</v>
      </c>
      <c r="I64">
        <v>0.01</v>
      </c>
      <c r="J64">
        <v>103.7</v>
      </c>
      <c r="K64">
        <f t="shared" si="1"/>
        <v>0.1037</v>
      </c>
      <c r="L64">
        <v>125</v>
      </c>
      <c r="M64" s="4">
        <f t="shared" si="2"/>
        <v>320.99098077032158</v>
      </c>
      <c r="N64" s="4">
        <f t="shared" si="3"/>
        <v>33.286764705882348</v>
      </c>
    </row>
    <row r="65" spans="1:14">
      <c r="A65">
        <v>64</v>
      </c>
      <c r="B65">
        <v>16</v>
      </c>
      <c r="C65" t="s">
        <v>29</v>
      </c>
      <c r="D65" t="s">
        <v>3</v>
      </c>
      <c r="E65" t="s">
        <v>24</v>
      </c>
      <c r="F65" t="s">
        <v>30</v>
      </c>
      <c r="G65" s="3">
        <v>0.4185666666666667</v>
      </c>
      <c r="H65">
        <f t="shared" si="0"/>
        <v>51.831372549019612</v>
      </c>
      <c r="I65">
        <v>0.01</v>
      </c>
      <c r="J65">
        <v>101.21</v>
      </c>
      <c r="K65">
        <f t="shared" si="1"/>
        <v>0.10120999999999999</v>
      </c>
      <c r="L65">
        <v>125</v>
      </c>
      <c r="M65" s="4">
        <f t="shared" si="2"/>
        <v>640.14638559702121</v>
      </c>
      <c r="N65" s="4">
        <f t="shared" si="3"/>
        <v>64.789215686274517</v>
      </c>
    </row>
    <row r="66" spans="1:14">
      <c r="A66" t="s">
        <v>31</v>
      </c>
      <c r="G66" s="3">
        <v>3.2249999999999918E-3</v>
      </c>
      <c r="H66">
        <f t="shared" si="0"/>
        <v>2.9676470588235282</v>
      </c>
      <c r="I66">
        <v>0.01</v>
      </c>
      <c r="J66">
        <v>0</v>
      </c>
      <c r="K66">
        <f t="shared" si="1"/>
        <v>0</v>
      </c>
      <c r="L66">
        <v>125</v>
      </c>
      <c r="M66" s="4">
        <v>0</v>
      </c>
      <c r="N66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6C4F-4A2B-4684-870C-3A3B380D1358}">
  <dimension ref="A1:I66"/>
  <sheetViews>
    <sheetView workbookViewId="0">
      <selection activeCell="B1" sqref="B1"/>
    </sheetView>
  </sheetViews>
  <sheetFormatPr defaultRowHeight="15"/>
  <sheetData>
    <row r="1" spans="1:9">
      <c r="A1" s="5" t="s">
        <v>32</v>
      </c>
      <c r="B1" s="5" t="s">
        <v>10</v>
      </c>
      <c r="C1" s="5" t="s">
        <v>11</v>
      </c>
      <c r="D1" s="5" t="s">
        <v>12</v>
      </c>
      <c r="E1" s="5" t="s">
        <v>33</v>
      </c>
      <c r="F1" s="1" t="s">
        <v>34</v>
      </c>
      <c r="G1" s="5" t="s">
        <v>35</v>
      </c>
      <c r="H1" s="6" t="s">
        <v>36</v>
      </c>
      <c r="I1" s="6" t="s">
        <v>37</v>
      </c>
    </row>
    <row r="2" spans="1:9">
      <c r="A2" s="7">
        <v>1</v>
      </c>
      <c r="B2" s="8">
        <v>1</v>
      </c>
      <c r="C2" s="9" t="s">
        <v>38</v>
      </c>
      <c r="D2" s="7" t="s">
        <v>39</v>
      </c>
      <c r="E2" s="7" t="s">
        <v>24</v>
      </c>
      <c r="F2" t="s">
        <v>40</v>
      </c>
      <c r="G2" s="9" t="s">
        <v>41</v>
      </c>
      <c r="H2">
        <v>2.5992510170423304</v>
      </c>
      <c r="I2">
        <v>-27.803433268657084</v>
      </c>
    </row>
    <row r="3" spans="1:9">
      <c r="A3" s="7">
        <v>2</v>
      </c>
      <c r="B3" s="8">
        <v>2</v>
      </c>
      <c r="C3" s="9" t="s">
        <v>38</v>
      </c>
      <c r="D3" s="7" t="s">
        <v>42</v>
      </c>
      <c r="E3" s="7" t="s">
        <v>24</v>
      </c>
      <c r="F3" t="s">
        <v>40</v>
      </c>
      <c r="G3" s="9" t="s">
        <v>41</v>
      </c>
      <c r="H3">
        <v>2.7863654539272353</v>
      </c>
      <c r="I3">
        <v>-27.567559066675983</v>
      </c>
    </row>
    <row r="4" spans="1:9">
      <c r="A4" s="7">
        <v>3</v>
      </c>
      <c r="B4" s="8">
        <v>3</v>
      </c>
      <c r="C4" s="9" t="s">
        <v>38</v>
      </c>
      <c r="D4" s="7" t="s">
        <v>43</v>
      </c>
      <c r="E4" s="7" t="s">
        <v>26</v>
      </c>
      <c r="F4" t="s">
        <v>40</v>
      </c>
      <c r="G4" s="9" t="s">
        <v>41</v>
      </c>
      <c r="H4">
        <v>2.6318056470588229</v>
      </c>
      <c r="I4">
        <v>-27.727180832671813</v>
      </c>
    </row>
    <row r="5" spans="1:9">
      <c r="A5" s="7">
        <v>4</v>
      </c>
      <c r="B5" s="8">
        <v>4</v>
      </c>
      <c r="C5" s="9" t="s">
        <v>38</v>
      </c>
      <c r="D5" s="7" t="s">
        <v>44</v>
      </c>
      <c r="E5" s="7" t="s">
        <v>26</v>
      </c>
      <c r="F5" t="s">
        <v>40</v>
      </c>
      <c r="G5" s="9" t="s">
        <v>41</v>
      </c>
      <c r="H5">
        <v>2.7968962065714074</v>
      </c>
      <c r="I5">
        <v>-27.962038335506445</v>
      </c>
    </row>
    <row r="6" spans="1:9">
      <c r="A6" s="7">
        <v>5</v>
      </c>
      <c r="B6" s="8">
        <v>5</v>
      </c>
      <c r="C6" s="9" t="s">
        <v>38</v>
      </c>
      <c r="D6" s="7" t="s">
        <v>42</v>
      </c>
      <c r="E6" s="7" t="s">
        <v>27</v>
      </c>
      <c r="F6" t="s">
        <v>45</v>
      </c>
      <c r="G6" s="9" t="s">
        <v>41</v>
      </c>
      <c r="H6">
        <v>2.8677895688534778</v>
      </c>
      <c r="I6">
        <v>-27.242215339805497</v>
      </c>
    </row>
    <row r="7" spans="1:9">
      <c r="A7" s="7">
        <v>6</v>
      </c>
      <c r="B7" s="8">
        <v>6</v>
      </c>
      <c r="C7" s="9" t="s">
        <v>38</v>
      </c>
      <c r="D7" s="7" t="s">
        <v>39</v>
      </c>
      <c r="E7" s="7" t="s">
        <v>27</v>
      </c>
      <c r="F7" t="s">
        <v>45</v>
      </c>
      <c r="G7" s="9" t="s">
        <v>41</v>
      </c>
      <c r="H7">
        <v>2.6023770375620119</v>
      </c>
      <c r="I7">
        <v>-28.281281867498109</v>
      </c>
    </row>
    <row r="8" spans="1:9">
      <c r="A8" s="7">
        <v>7</v>
      </c>
      <c r="B8" s="8">
        <v>7</v>
      </c>
      <c r="C8" s="9" t="s">
        <v>38</v>
      </c>
      <c r="D8" s="7" t="s">
        <v>44</v>
      </c>
      <c r="E8" s="7" t="s">
        <v>28</v>
      </c>
      <c r="F8" t="s">
        <v>45</v>
      </c>
      <c r="G8" s="9" t="s">
        <v>41</v>
      </c>
      <c r="H8">
        <v>2.7702607819137444</v>
      </c>
      <c r="I8">
        <v>-28.083025533936407</v>
      </c>
    </row>
    <row r="9" spans="1:9">
      <c r="A9" s="7">
        <v>8</v>
      </c>
      <c r="B9" s="8">
        <v>8</v>
      </c>
      <c r="C9" s="9" t="s">
        <v>38</v>
      </c>
      <c r="D9" s="7" t="s">
        <v>43</v>
      </c>
      <c r="E9" s="7" t="s">
        <v>28</v>
      </c>
      <c r="F9" t="s">
        <v>45</v>
      </c>
      <c r="G9" s="9" t="s">
        <v>41</v>
      </c>
      <c r="H9">
        <v>2.8740356302521</v>
      </c>
      <c r="I9">
        <v>-27.674312477055359</v>
      </c>
    </row>
    <row r="10" spans="1:9">
      <c r="A10" s="7">
        <v>9</v>
      </c>
      <c r="B10" s="8">
        <v>9</v>
      </c>
      <c r="C10" s="9" t="s">
        <v>38</v>
      </c>
      <c r="D10" s="7" t="s">
        <v>42</v>
      </c>
      <c r="E10" s="7" t="s">
        <v>28</v>
      </c>
      <c r="F10" t="s">
        <v>46</v>
      </c>
      <c r="G10" s="9" t="s">
        <v>41</v>
      </c>
      <c r="H10">
        <v>2.6032691887163781</v>
      </c>
      <c r="I10">
        <v>-28.279248469205168</v>
      </c>
    </row>
    <row r="11" spans="1:9">
      <c r="A11" s="7">
        <v>10</v>
      </c>
      <c r="B11" s="8">
        <v>10</v>
      </c>
      <c r="C11" s="9" t="s">
        <v>38</v>
      </c>
      <c r="D11" s="7" t="s">
        <v>39</v>
      </c>
      <c r="E11" s="7" t="s">
        <v>28</v>
      </c>
      <c r="F11" t="s">
        <v>46</v>
      </c>
      <c r="G11" s="9" t="s">
        <v>41</v>
      </c>
      <c r="H11">
        <v>2.6852157252175943</v>
      </c>
      <c r="I11">
        <v>-27.570609164115393</v>
      </c>
    </row>
    <row r="12" spans="1:9">
      <c r="A12" s="7">
        <v>11</v>
      </c>
      <c r="B12" s="8">
        <v>11</v>
      </c>
      <c r="C12" s="9" t="s">
        <v>38</v>
      </c>
      <c r="D12" s="7" t="s">
        <v>43</v>
      </c>
      <c r="E12" s="7" t="s">
        <v>27</v>
      </c>
      <c r="F12" t="s">
        <v>46</v>
      </c>
      <c r="G12" s="9" t="s">
        <v>41</v>
      </c>
      <c r="H12">
        <v>2.7812255191162012</v>
      </c>
      <c r="I12">
        <v>-27.598060041070088</v>
      </c>
    </row>
    <row r="13" spans="1:9">
      <c r="A13" s="7">
        <v>12</v>
      </c>
      <c r="B13" s="8">
        <v>12</v>
      </c>
      <c r="C13" s="9" t="s">
        <v>38</v>
      </c>
      <c r="D13" s="7" t="s">
        <v>44</v>
      </c>
      <c r="E13" s="7" t="s">
        <v>27</v>
      </c>
      <c r="F13" t="s">
        <v>46</v>
      </c>
      <c r="G13" s="9" t="s">
        <v>41</v>
      </c>
      <c r="H13">
        <v>2.686905684529004</v>
      </c>
      <c r="I13">
        <v>-27.678379273641241</v>
      </c>
    </row>
    <row r="14" spans="1:9">
      <c r="A14" s="7">
        <v>13</v>
      </c>
      <c r="B14" s="8">
        <v>13</v>
      </c>
      <c r="C14" s="9" t="s">
        <v>38</v>
      </c>
      <c r="D14" s="7" t="s">
        <v>39</v>
      </c>
      <c r="E14" s="7" t="s">
        <v>26</v>
      </c>
      <c r="F14" t="s">
        <v>47</v>
      </c>
      <c r="G14" s="9" t="s">
        <v>41</v>
      </c>
      <c r="H14">
        <v>2.6194578631452581</v>
      </c>
      <c r="I14">
        <v>-28.337200320553972</v>
      </c>
    </row>
    <row r="15" spans="1:9">
      <c r="A15" s="7">
        <v>14</v>
      </c>
      <c r="B15" s="8">
        <v>14</v>
      </c>
      <c r="C15" s="9" t="s">
        <v>38</v>
      </c>
      <c r="D15" s="7" t="s">
        <v>42</v>
      </c>
      <c r="E15" s="7" t="s">
        <v>26</v>
      </c>
      <c r="F15" t="s">
        <v>47</v>
      </c>
      <c r="G15" s="9" t="s">
        <v>41</v>
      </c>
      <c r="H15">
        <v>2.7743026023574964</v>
      </c>
      <c r="I15">
        <v>-27.172063098699045</v>
      </c>
    </row>
    <row r="16" spans="1:9">
      <c r="A16" s="7">
        <v>15</v>
      </c>
      <c r="B16" s="8">
        <v>15</v>
      </c>
      <c r="C16" s="9" t="s">
        <v>38</v>
      </c>
      <c r="D16" s="7" t="s">
        <v>44</v>
      </c>
      <c r="E16" s="7" t="s">
        <v>24</v>
      </c>
      <c r="F16" t="s">
        <v>47</v>
      </c>
      <c r="G16" s="9" t="s">
        <v>41</v>
      </c>
      <c r="H16">
        <v>3.2271394037066878</v>
      </c>
      <c r="I16">
        <v>-27.985422415875259</v>
      </c>
    </row>
    <row r="17" spans="1:9">
      <c r="A17" s="7">
        <v>16</v>
      </c>
      <c r="B17" s="8">
        <v>16</v>
      </c>
      <c r="C17" s="9" t="s">
        <v>38</v>
      </c>
      <c r="D17" s="7" t="s">
        <v>43</v>
      </c>
      <c r="E17" s="7" t="s">
        <v>24</v>
      </c>
      <c r="F17" t="s">
        <v>47</v>
      </c>
      <c r="G17" s="9" t="s">
        <v>41</v>
      </c>
      <c r="H17">
        <v>2.764043572984749</v>
      </c>
      <c r="I17">
        <v>-27.633644511196547</v>
      </c>
    </row>
    <row r="18" spans="1:9">
      <c r="A18" s="7">
        <v>17</v>
      </c>
      <c r="B18" s="8">
        <v>1</v>
      </c>
      <c r="C18" s="9" t="s">
        <v>29</v>
      </c>
      <c r="D18" s="10" t="s">
        <v>39</v>
      </c>
      <c r="E18" s="10" t="s">
        <v>24</v>
      </c>
      <c r="F18" t="s">
        <v>40</v>
      </c>
      <c r="G18" s="9" t="s">
        <v>41</v>
      </c>
      <c r="H18">
        <v>2.4384856988667023</v>
      </c>
      <c r="I18">
        <v>-28.339233718846916</v>
      </c>
    </row>
    <row r="19" spans="1:9">
      <c r="A19" s="7">
        <v>18</v>
      </c>
      <c r="B19" s="8">
        <v>2</v>
      </c>
      <c r="C19" s="9" t="s">
        <v>29</v>
      </c>
      <c r="D19" s="10" t="s">
        <v>42</v>
      </c>
      <c r="E19" s="10" t="s">
        <v>24</v>
      </c>
      <c r="F19" t="s">
        <v>40</v>
      </c>
      <c r="G19" s="9" t="s">
        <v>41</v>
      </c>
      <c r="H19">
        <v>2.7194607760958522</v>
      </c>
      <c r="I19">
        <v>-28.411419358246302</v>
      </c>
    </row>
    <row r="20" spans="1:9">
      <c r="A20" s="7">
        <v>19</v>
      </c>
      <c r="B20" s="8">
        <v>3</v>
      </c>
      <c r="C20" s="9" t="s">
        <v>29</v>
      </c>
      <c r="D20" s="10" t="s">
        <v>43</v>
      </c>
      <c r="E20" s="10" t="s">
        <v>26</v>
      </c>
      <c r="F20" t="s">
        <v>40</v>
      </c>
      <c r="G20" s="9" t="s">
        <v>41</v>
      </c>
      <c r="H20">
        <v>2.4105714285714281</v>
      </c>
      <c r="I20">
        <v>-28.720495898773265</v>
      </c>
    </row>
    <row r="21" spans="1:9">
      <c r="A21" s="7">
        <v>20</v>
      </c>
      <c r="B21" s="8">
        <v>4</v>
      </c>
      <c r="C21" s="9" t="s">
        <v>29</v>
      </c>
      <c r="D21" s="10" t="s">
        <v>44</v>
      </c>
      <c r="E21" s="10" t="s">
        <v>26</v>
      </c>
      <c r="F21" t="s">
        <v>40</v>
      </c>
      <c r="G21" s="9" t="s">
        <v>41</v>
      </c>
      <c r="H21">
        <v>2.8520931123212248</v>
      </c>
      <c r="I21">
        <v>-28.700161915843857</v>
      </c>
    </row>
    <row r="22" spans="1:9">
      <c r="A22" s="7">
        <v>21</v>
      </c>
      <c r="B22" s="8">
        <v>5</v>
      </c>
      <c r="C22" s="9" t="s">
        <v>29</v>
      </c>
      <c r="D22" s="10" t="s">
        <v>42</v>
      </c>
      <c r="E22" s="10" t="s">
        <v>27</v>
      </c>
      <c r="F22" t="s">
        <v>45</v>
      </c>
      <c r="G22" s="9" t="s">
        <v>41</v>
      </c>
      <c r="H22">
        <v>2.5049725490196075</v>
      </c>
      <c r="I22">
        <v>-27.971188627824677</v>
      </c>
    </row>
    <row r="23" spans="1:9">
      <c r="A23" s="7">
        <v>22</v>
      </c>
      <c r="B23" s="8">
        <v>6</v>
      </c>
      <c r="C23" s="9" t="s">
        <v>29</v>
      </c>
      <c r="D23" s="10" t="s">
        <v>39</v>
      </c>
      <c r="E23" s="10" t="s">
        <v>27</v>
      </c>
      <c r="F23" t="s">
        <v>45</v>
      </c>
      <c r="G23" s="9" t="s">
        <v>41</v>
      </c>
      <c r="H23">
        <v>2.5046854584877942</v>
      </c>
      <c r="I23">
        <v>-28.166394863946969</v>
      </c>
    </row>
    <row r="24" spans="1:9">
      <c r="A24" s="7">
        <v>23</v>
      </c>
      <c r="B24" s="8">
        <v>7</v>
      </c>
      <c r="C24" s="9" t="s">
        <v>29</v>
      </c>
      <c r="D24" s="10" t="s">
        <v>44</v>
      </c>
      <c r="E24" s="10" t="s">
        <v>28</v>
      </c>
      <c r="F24" t="s">
        <v>45</v>
      </c>
      <c r="G24" s="9" t="s">
        <v>41</v>
      </c>
      <c r="H24">
        <v>2.8135415738455047</v>
      </c>
      <c r="I24">
        <v>-28.744896678288551</v>
      </c>
    </row>
    <row r="25" spans="1:9">
      <c r="A25" s="7">
        <v>24</v>
      </c>
      <c r="B25" s="8">
        <v>8</v>
      </c>
      <c r="C25" s="9" t="s">
        <v>29</v>
      </c>
      <c r="D25" s="10" t="s">
        <v>43</v>
      </c>
      <c r="E25" s="10" t="s">
        <v>28</v>
      </c>
      <c r="F25" t="s">
        <v>45</v>
      </c>
      <c r="G25" s="9" t="s">
        <v>41</v>
      </c>
      <c r="H25">
        <v>2.2435251172515112</v>
      </c>
      <c r="I25">
        <v>-28.352450807751026</v>
      </c>
    </row>
    <row r="26" spans="1:9">
      <c r="A26" s="7">
        <v>25</v>
      </c>
      <c r="B26" s="8">
        <v>9</v>
      </c>
      <c r="C26" s="9" t="s">
        <v>29</v>
      </c>
      <c r="D26" s="10" t="s">
        <v>42</v>
      </c>
      <c r="E26" s="10" t="s">
        <v>28</v>
      </c>
      <c r="F26" t="s">
        <v>46</v>
      </c>
      <c r="G26" s="9" t="s">
        <v>41</v>
      </c>
      <c r="H26">
        <v>2.2412011315006883</v>
      </c>
      <c r="I26">
        <v>-28.582224814853308</v>
      </c>
    </row>
    <row r="27" spans="1:9">
      <c r="A27" s="7">
        <v>26</v>
      </c>
      <c r="B27" s="8">
        <v>10</v>
      </c>
      <c r="C27" s="9" t="s">
        <v>29</v>
      </c>
      <c r="D27" s="10" t="s">
        <v>39</v>
      </c>
      <c r="E27" s="10" t="s">
        <v>28</v>
      </c>
      <c r="F27" t="s">
        <v>46</v>
      </c>
      <c r="G27" s="9" t="s">
        <v>41</v>
      </c>
      <c r="H27">
        <v>2.8229239415511422</v>
      </c>
      <c r="I27">
        <v>-27.654995193272423</v>
      </c>
    </row>
    <row r="28" spans="1:9">
      <c r="A28" s="7">
        <v>27</v>
      </c>
      <c r="B28" s="8">
        <v>11</v>
      </c>
      <c r="C28" s="9" t="s">
        <v>29</v>
      </c>
      <c r="D28" s="10" t="s">
        <v>43</v>
      </c>
      <c r="E28" s="10" t="s">
        <v>27</v>
      </c>
      <c r="F28" t="s">
        <v>46</v>
      </c>
      <c r="G28" s="9" t="s">
        <v>41</v>
      </c>
      <c r="H28">
        <v>2.5955849056603766</v>
      </c>
      <c r="I28">
        <v>-28.665594144863871</v>
      </c>
    </row>
    <row r="29" spans="1:9">
      <c r="A29" s="7">
        <v>28</v>
      </c>
      <c r="B29" s="8">
        <v>12</v>
      </c>
      <c r="C29" s="9" t="s">
        <v>29</v>
      </c>
      <c r="D29" s="10" t="s">
        <v>44</v>
      </c>
      <c r="E29" s="10" t="s">
        <v>27</v>
      </c>
      <c r="F29" t="s">
        <v>46</v>
      </c>
      <c r="G29" s="9" t="s">
        <v>41</v>
      </c>
      <c r="H29">
        <v>2.633165485086542</v>
      </c>
      <c r="I29">
        <v>-28.692028322672098</v>
      </c>
    </row>
    <row r="30" spans="1:9">
      <c r="A30" s="7">
        <v>29</v>
      </c>
      <c r="B30" s="8">
        <v>13</v>
      </c>
      <c r="C30" s="9" t="s">
        <v>29</v>
      </c>
      <c r="D30" s="10" t="s">
        <v>39</v>
      </c>
      <c r="E30" s="10" t="s">
        <v>26</v>
      </c>
      <c r="F30" t="s">
        <v>47</v>
      </c>
      <c r="G30" s="9" t="s">
        <v>41</v>
      </c>
      <c r="H30">
        <v>2.5987609828741616</v>
      </c>
      <c r="I30">
        <v>-28.431753341175707</v>
      </c>
    </row>
    <row r="31" spans="1:9">
      <c r="A31" s="7">
        <v>30</v>
      </c>
      <c r="B31" s="8">
        <v>14</v>
      </c>
      <c r="C31" s="9" t="s">
        <v>29</v>
      </c>
      <c r="D31" s="10" t="s">
        <v>42</v>
      </c>
      <c r="E31" s="10" t="s">
        <v>26</v>
      </c>
      <c r="F31" t="s">
        <v>47</v>
      </c>
      <c r="G31" s="9" t="s">
        <v>41</v>
      </c>
      <c r="H31">
        <v>2.3120336134453776</v>
      </c>
      <c r="I31">
        <v>-28.807932025369709</v>
      </c>
    </row>
    <row r="32" spans="1:9">
      <c r="A32" s="7">
        <v>31</v>
      </c>
      <c r="B32" s="8">
        <v>15</v>
      </c>
      <c r="C32" s="9" t="s">
        <v>29</v>
      </c>
      <c r="D32" s="10" t="s">
        <v>44</v>
      </c>
      <c r="E32" s="10" t="s">
        <v>24</v>
      </c>
      <c r="F32" t="s">
        <v>47</v>
      </c>
      <c r="G32" s="9" t="s">
        <v>41</v>
      </c>
      <c r="H32">
        <v>2.6171532910561988</v>
      </c>
      <c r="I32">
        <v>-28.034223974905835</v>
      </c>
    </row>
    <row r="33" spans="1:9">
      <c r="A33" s="7">
        <v>32</v>
      </c>
      <c r="B33" s="8">
        <v>16</v>
      </c>
      <c r="C33" s="9" t="s">
        <v>29</v>
      </c>
      <c r="D33" s="10" t="s">
        <v>43</v>
      </c>
      <c r="E33" s="10" t="s">
        <v>24</v>
      </c>
      <c r="F33" t="s">
        <v>47</v>
      </c>
      <c r="G33" s="9" t="s">
        <v>41</v>
      </c>
      <c r="H33">
        <v>2.299926539629936</v>
      </c>
      <c r="I33">
        <v>-28.722529297066206</v>
      </c>
    </row>
    <row r="34" spans="1:9">
      <c r="A34" s="7">
        <v>33</v>
      </c>
      <c r="B34" s="8">
        <v>1</v>
      </c>
      <c r="C34" s="9" t="s">
        <v>38</v>
      </c>
      <c r="D34" s="10" t="s">
        <v>39</v>
      </c>
      <c r="E34" s="10" t="s">
        <v>24</v>
      </c>
      <c r="F34" t="s">
        <v>40</v>
      </c>
      <c r="G34" s="9" t="s">
        <v>48</v>
      </c>
      <c r="H34">
        <v>2.9112819140395008</v>
      </c>
      <c r="I34">
        <v>-27.391670114336623</v>
      </c>
    </row>
    <row r="35" spans="1:9">
      <c r="A35" s="7">
        <v>34</v>
      </c>
      <c r="B35" s="8">
        <v>2</v>
      </c>
      <c r="C35" s="9" t="s">
        <v>38</v>
      </c>
      <c r="D35" s="10" t="s">
        <v>42</v>
      </c>
      <c r="E35" s="10" t="s">
        <v>24</v>
      </c>
      <c r="F35" t="s">
        <v>40</v>
      </c>
      <c r="G35" s="9" t="s">
        <v>48</v>
      </c>
      <c r="H35">
        <v>2.8668715824357904</v>
      </c>
      <c r="I35">
        <v>-27.391670114336623</v>
      </c>
    </row>
    <row r="36" spans="1:9">
      <c r="A36" s="7">
        <v>35</v>
      </c>
      <c r="B36" s="8">
        <v>3</v>
      </c>
      <c r="C36" s="9" t="s">
        <v>38</v>
      </c>
      <c r="D36" s="10" t="s">
        <v>43</v>
      </c>
      <c r="E36" s="10" t="s">
        <v>26</v>
      </c>
      <c r="F36" t="s">
        <v>40</v>
      </c>
      <c r="G36" s="9" t="s">
        <v>48</v>
      </c>
      <c r="H36">
        <v>3.1038972278566592</v>
      </c>
      <c r="I36">
        <v>-27.124278238814945</v>
      </c>
    </row>
    <row r="37" spans="1:9">
      <c r="A37" s="7">
        <v>36</v>
      </c>
      <c r="B37" s="8">
        <v>4</v>
      </c>
      <c r="C37" s="9" t="s">
        <v>38</v>
      </c>
      <c r="D37" s="10" t="s">
        <v>44</v>
      </c>
      <c r="E37" s="10" t="s">
        <v>26</v>
      </c>
      <c r="F37" t="s">
        <v>40</v>
      </c>
      <c r="G37" s="9" t="s">
        <v>48</v>
      </c>
      <c r="H37">
        <v>2.7485055708637831</v>
      </c>
      <c r="I37">
        <v>-26.890437435126785</v>
      </c>
    </row>
    <row r="38" spans="1:9">
      <c r="A38" s="7">
        <v>37</v>
      </c>
      <c r="B38" s="8">
        <v>5</v>
      </c>
      <c r="C38" s="9" t="s">
        <v>38</v>
      </c>
      <c r="D38" s="10" t="s">
        <v>42</v>
      </c>
      <c r="E38" s="10" t="s">
        <v>27</v>
      </c>
      <c r="F38" t="s">
        <v>45</v>
      </c>
      <c r="G38" s="9" t="s">
        <v>48</v>
      </c>
      <c r="H38">
        <v>3.0543587869930575</v>
      </c>
      <c r="I38">
        <v>-27.101910857592596</v>
      </c>
    </row>
    <row r="39" spans="1:9">
      <c r="A39" s="7">
        <v>38</v>
      </c>
      <c r="B39" s="8">
        <v>6</v>
      </c>
      <c r="C39" s="9" t="s">
        <v>38</v>
      </c>
      <c r="D39" s="10" t="s">
        <v>39</v>
      </c>
      <c r="E39" s="10" t="s">
        <v>27</v>
      </c>
      <c r="F39" t="s">
        <v>45</v>
      </c>
      <c r="G39" s="9" t="s">
        <v>48</v>
      </c>
      <c r="H39">
        <v>2.8949349845201233</v>
      </c>
      <c r="I39">
        <v>-27.196463878214331</v>
      </c>
    </row>
    <row r="40" spans="1:9">
      <c r="A40" s="7">
        <v>39</v>
      </c>
      <c r="B40" s="8">
        <v>7</v>
      </c>
      <c r="C40" s="9" t="s">
        <v>38</v>
      </c>
      <c r="D40" s="10" t="s">
        <v>44</v>
      </c>
      <c r="E40" s="10" t="s">
        <v>28</v>
      </c>
      <c r="F40" t="s">
        <v>45</v>
      </c>
      <c r="G40" s="9" t="s">
        <v>48</v>
      </c>
      <c r="H40">
        <v>2.7857358817343965</v>
      </c>
      <c r="I40">
        <v>-26.975840163430284</v>
      </c>
    </row>
    <row r="41" spans="1:9">
      <c r="A41" s="7">
        <v>40</v>
      </c>
      <c r="B41" s="8">
        <v>8</v>
      </c>
      <c r="C41" s="9" t="s">
        <v>38</v>
      </c>
      <c r="D41" s="10" t="s">
        <v>43</v>
      </c>
      <c r="E41" s="10" t="s">
        <v>28</v>
      </c>
      <c r="F41" t="s">
        <v>45</v>
      </c>
      <c r="G41" s="9" t="s">
        <v>48</v>
      </c>
      <c r="H41">
        <v>3.1026050796157385</v>
      </c>
      <c r="I41">
        <v>-27.07242658234496</v>
      </c>
    </row>
    <row r="42" spans="1:9">
      <c r="A42" s="7">
        <v>41</v>
      </c>
      <c r="B42" s="8">
        <v>9</v>
      </c>
      <c r="C42" s="9" t="s">
        <v>38</v>
      </c>
      <c r="D42" s="10" t="s">
        <v>42</v>
      </c>
      <c r="E42" s="10" t="s">
        <v>28</v>
      </c>
      <c r="F42" t="s">
        <v>46</v>
      </c>
      <c r="G42" s="9" t="s">
        <v>48</v>
      </c>
      <c r="H42">
        <v>3.0026552555448403</v>
      </c>
      <c r="I42">
        <v>-27.357102343356637</v>
      </c>
    </row>
    <row r="43" spans="1:9">
      <c r="A43" s="7">
        <v>42</v>
      </c>
      <c r="B43" s="8">
        <v>10</v>
      </c>
      <c r="C43" s="9" t="s">
        <v>38</v>
      </c>
      <c r="D43" s="10" t="s">
        <v>39</v>
      </c>
      <c r="E43" s="10" t="s">
        <v>28</v>
      </c>
      <c r="F43" t="s">
        <v>46</v>
      </c>
      <c r="G43" s="9" t="s">
        <v>48</v>
      </c>
      <c r="H43">
        <v>2.8749425287356316</v>
      </c>
      <c r="I43">
        <v>-26.976856862576756</v>
      </c>
    </row>
    <row r="44" spans="1:9">
      <c r="A44" s="7">
        <v>43</v>
      </c>
      <c r="B44" s="8">
        <v>11</v>
      </c>
      <c r="C44" s="9" t="s">
        <v>38</v>
      </c>
      <c r="D44" s="10" t="s">
        <v>43</v>
      </c>
      <c r="E44" s="10" t="s">
        <v>27</v>
      </c>
      <c r="F44" t="s">
        <v>46</v>
      </c>
      <c r="G44" s="9" t="s">
        <v>48</v>
      </c>
      <c r="H44">
        <v>2.8230356255178122</v>
      </c>
      <c r="I44">
        <v>-26.876203647076199</v>
      </c>
    </row>
    <row r="45" spans="1:9">
      <c r="A45" s="7">
        <v>44</v>
      </c>
      <c r="B45" s="8">
        <v>12</v>
      </c>
      <c r="C45" s="9" t="s">
        <v>38</v>
      </c>
      <c r="D45" s="10" t="s">
        <v>44</v>
      </c>
      <c r="E45" s="10" t="s">
        <v>27</v>
      </c>
      <c r="F45" t="s">
        <v>46</v>
      </c>
      <c r="G45" s="9" t="s">
        <v>48</v>
      </c>
      <c r="H45">
        <v>3.2355011764705877</v>
      </c>
      <c r="I45">
        <v>-26.887387337687372</v>
      </c>
    </row>
    <row r="46" spans="1:9">
      <c r="A46" s="7">
        <v>45</v>
      </c>
      <c r="B46" s="8">
        <v>13</v>
      </c>
      <c r="C46" s="9" t="s">
        <v>38</v>
      </c>
      <c r="D46" s="10" t="s">
        <v>39</v>
      </c>
      <c r="E46" s="10" t="s">
        <v>26</v>
      </c>
      <c r="F46" t="s">
        <v>47</v>
      </c>
      <c r="G46" s="9" t="s">
        <v>48</v>
      </c>
      <c r="H46">
        <v>3.0905664705882345</v>
      </c>
      <c r="I46">
        <v>-27.14156212430494</v>
      </c>
    </row>
    <row r="47" spans="1:9">
      <c r="A47" s="7">
        <v>46</v>
      </c>
      <c r="B47" s="8">
        <v>14</v>
      </c>
      <c r="C47" s="9" t="s">
        <v>38</v>
      </c>
      <c r="D47" s="10" t="s">
        <v>42</v>
      </c>
      <c r="E47" s="10" t="s">
        <v>26</v>
      </c>
      <c r="F47" t="s">
        <v>47</v>
      </c>
      <c r="G47" s="9" t="s">
        <v>48</v>
      </c>
      <c r="H47">
        <v>3.4401027611044412</v>
      </c>
      <c r="I47">
        <v>-27.927470564526455</v>
      </c>
    </row>
    <row r="48" spans="1:9">
      <c r="A48" s="7">
        <v>47</v>
      </c>
      <c r="B48" s="8">
        <v>15</v>
      </c>
      <c r="C48" s="9" t="s">
        <v>38</v>
      </c>
      <c r="D48" s="10" t="s">
        <v>44</v>
      </c>
      <c r="E48" s="10" t="s">
        <v>24</v>
      </c>
      <c r="F48" t="s">
        <v>47</v>
      </c>
      <c r="G48" s="9" t="s">
        <v>48</v>
      </c>
      <c r="H48">
        <v>3.2285867856147195</v>
      </c>
      <c r="I48">
        <v>-27.634661210343019</v>
      </c>
    </row>
    <row r="49" spans="1:9">
      <c r="A49" s="7">
        <v>48</v>
      </c>
      <c r="B49" s="8">
        <v>16</v>
      </c>
      <c r="C49" s="9" t="s">
        <v>38</v>
      </c>
      <c r="D49" s="10" t="s">
        <v>43</v>
      </c>
      <c r="E49" s="10" t="s">
        <v>24</v>
      </c>
      <c r="F49" t="s">
        <v>47</v>
      </c>
      <c r="G49" s="9" t="s">
        <v>48</v>
      </c>
      <c r="H49">
        <v>3.3594760960563996</v>
      </c>
      <c r="I49">
        <v>-27.368286033967809</v>
      </c>
    </row>
    <row r="50" spans="1:9">
      <c r="A50" s="7">
        <v>49</v>
      </c>
      <c r="B50" s="8">
        <v>1</v>
      </c>
      <c r="C50" s="9" t="s">
        <v>29</v>
      </c>
      <c r="D50" s="10" t="s">
        <v>39</v>
      </c>
      <c r="E50" s="10" t="s">
        <v>24</v>
      </c>
      <c r="F50" t="s">
        <v>40</v>
      </c>
      <c r="G50" s="9" t="s">
        <v>48</v>
      </c>
      <c r="H50">
        <v>3.4587380118371778</v>
      </c>
      <c r="I50">
        <v>-27.738364523282986</v>
      </c>
    </row>
    <row r="51" spans="1:9">
      <c r="A51" s="7">
        <v>50</v>
      </c>
      <c r="B51" s="8">
        <v>2</v>
      </c>
      <c r="C51" s="9" t="s">
        <v>29</v>
      </c>
      <c r="D51" s="10" t="s">
        <v>42</v>
      </c>
      <c r="E51" s="10" t="s">
        <v>24</v>
      </c>
      <c r="F51" t="s">
        <v>40</v>
      </c>
      <c r="G51" s="9" t="s">
        <v>48</v>
      </c>
      <c r="H51">
        <v>3.2459098489970697</v>
      </c>
      <c r="I51">
        <v>-27.641778104368314</v>
      </c>
    </row>
    <row r="52" spans="1:9">
      <c r="A52" s="7">
        <v>51</v>
      </c>
      <c r="B52" s="8">
        <v>3</v>
      </c>
      <c r="C52" s="9" t="s">
        <v>29</v>
      </c>
      <c r="D52" s="10" t="s">
        <v>43</v>
      </c>
      <c r="E52" s="10" t="s">
        <v>26</v>
      </c>
      <c r="F52" t="s">
        <v>40</v>
      </c>
      <c r="G52" s="9" t="s">
        <v>48</v>
      </c>
      <c r="H52">
        <v>3.2115009510390982</v>
      </c>
      <c r="I52">
        <v>-27.34388525445252</v>
      </c>
    </row>
    <row r="53" spans="1:9">
      <c r="A53" s="7">
        <v>52</v>
      </c>
      <c r="B53" s="8">
        <v>4</v>
      </c>
      <c r="C53" s="9" t="s">
        <v>29</v>
      </c>
      <c r="D53" s="10" t="s">
        <v>44</v>
      </c>
      <c r="E53" s="10" t="s">
        <v>26</v>
      </c>
      <c r="F53" t="s">
        <v>40</v>
      </c>
      <c r="G53" s="9" t="s">
        <v>48</v>
      </c>
      <c r="H53">
        <v>3.0994147534302399</v>
      </c>
      <c r="I53">
        <v>-27.530957897403052</v>
      </c>
    </row>
    <row r="54" spans="1:9">
      <c r="A54" s="7">
        <v>53</v>
      </c>
      <c r="B54" s="8">
        <v>5</v>
      </c>
      <c r="C54" s="9" t="s">
        <v>29</v>
      </c>
      <c r="D54" s="10" t="s">
        <v>42</v>
      </c>
      <c r="E54" s="10" t="s">
        <v>27</v>
      </c>
      <c r="F54" t="s">
        <v>45</v>
      </c>
      <c r="G54" s="9" t="s">
        <v>48</v>
      </c>
      <c r="H54">
        <v>3.31436484824953</v>
      </c>
      <c r="I54">
        <v>-28.019990186855253</v>
      </c>
    </row>
    <row r="55" spans="1:9">
      <c r="A55" s="7">
        <v>54</v>
      </c>
      <c r="B55" s="8">
        <v>6</v>
      </c>
      <c r="C55" s="9" t="s">
        <v>29</v>
      </c>
      <c r="D55" s="10" t="s">
        <v>39</v>
      </c>
      <c r="E55" s="10" t="s">
        <v>27</v>
      </c>
      <c r="F55" t="s">
        <v>45</v>
      </c>
      <c r="G55" s="9" t="s">
        <v>48</v>
      </c>
      <c r="H55">
        <v>3.3355495664401209</v>
      </c>
      <c r="I55">
        <v>-27.909169979889992</v>
      </c>
    </row>
    <row r="56" spans="1:9">
      <c r="A56" s="7">
        <v>55</v>
      </c>
      <c r="B56" s="8">
        <v>7</v>
      </c>
      <c r="C56" s="9" t="s">
        <v>29</v>
      </c>
      <c r="D56" s="10" t="s">
        <v>44</v>
      </c>
      <c r="E56" s="10" t="s">
        <v>28</v>
      </c>
      <c r="F56" t="s">
        <v>45</v>
      </c>
      <c r="G56" s="9" t="s">
        <v>48</v>
      </c>
      <c r="H56">
        <v>3.3414870493834443</v>
      </c>
      <c r="I56">
        <v>-27.813600260121785</v>
      </c>
    </row>
    <row r="57" spans="1:9">
      <c r="A57" s="7">
        <v>56</v>
      </c>
      <c r="B57" s="8">
        <v>8</v>
      </c>
      <c r="C57" s="9" t="s">
        <v>29</v>
      </c>
      <c r="D57" s="10" t="s">
        <v>43</v>
      </c>
      <c r="E57" s="10" t="s">
        <v>28</v>
      </c>
      <c r="F57" t="s">
        <v>45</v>
      </c>
      <c r="G57" s="9" t="s">
        <v>48</v>
      </c>
      <c r="H57">
        <v>3.3916506095395897</v>
      </c>
      <c r="I57">
        <v>-27.083610272956133</v>
      </c>
    </row>
    <row r="58" spans="1:9">
      <c r="A58" s="7">
        <v>57</v>
      </c>
      <c r="B58" s="8">
        <v>9</v>
      </c>
      <c r="C58" s="9" t="s">
        <v>29</v>
      </c>
      <c r="D58" s="10" t="s">
        <v>42</v>
      </c>
      <c r="E58" s="10" t="s">
        <v>28</v>
      </c>
      <c r="F58" t="s">
        <v>46</v>
      </c>
      <c r="G58" s="9" t="s">
        <v>48</v>
      </c>
      <c r="H58">
        <v>3.4076857020180329</v>
      </c>
      <c r="I58">
        <v>-28.259931185422232</v>
      </c>
    </row>
    <row r="59" spans="1:9">
      <c r="A59" s="7">
        <v>58</v>
      </c>
      <c r="B59" s="8">
        <v>10</v>
      </c>
      <c r="C59" s="9" t="s">
        <v>29</v>
      </c>
      <c r="D59" s="10" t="s">
        <v>39</v>
      </c>
      <c r="E59" s="10" t="s">
        <v>28</v>
      </c>
      <c r="F59" t="s">
        <v>46</v>
      </c>
      <c r="G59" s="9" t="s">
        <v>48</v>
      </c>
      <c r="H59">
        <v>3.0689247606019148</v>
      </c>
      <c r="I59">
        <v>-27.341851856159582</v>
      </c>
    </row>
    <row r="60" spans="1:9">
      <c r="A60" s="7">
        <v>59</v>
      </c>
      <c r="B60" s="8">
        <v>11</v>
      </c>
      <c r="C60" s="9" t="s">
        <v>29</v>
      </c>
      <c r="D60" s="10" t="s">
        <v>43</v>
      </c>
      <c r="E60" s="10" t="s">
        <v>27</v>
      </c>
      <c r="F60" t="s">
        <v>46</v>
      </c>
      <c r="G60" s="9" t="s">
        <v>48</v>
      </c>
      <c r="H60">
        <v>3.3208614940454702</v>
      </c>
      <c r="I60">
        <v>-27.651945095833014</v>
      </c>
    </row>
    <row r="61" spans="1:9">
      <c r="A61" s="7">
        <v>60</v>
      </c>
      <c r="B61" s="8">
        <v>12</v>
      </c>
      <c r="C61" s="9" t="s">
        <v>29</v>
      </c>
      <c r="D61" s="10" t="s">
        <v>44</v>
      </c>
      <c r="E61" s="10" t="s">
        <v>27</v>
      </c>
      <c r="F61" t="s">
        <v>46</v>
      </c>
      <c r="G61" s="9" t="s">
        <v>48</v>
      </c>
      <c r="H61">
        <v>2.9834225075330796</v>
      </c>
      <c r="I61">
        <v>-27.187313585896099</v>
      </c>
    </row>
    <row r="62" spans="1:9">
      <c r="A62" s="7">
        <v>61</v>
      </c>
      <c r="B62" s="8">
        <v>13</v>
      </c>
      <c r="C62" s="9" t="s">
        <v>29</v>
      </c>
      <c r="D62" s="10" t="s">
        <v>39</v>
      </c>
      <c r="E62" s="10" t="s">
        <v>26</v>
      </c>
      <c r="F62" t="s">
        <v>47</v>
      </c>
      <c r="G62" s="9" t="s">
        <v>48</v>
      </c>
      <c r="H62">
        <v>3.1164571428571421</v>
      </c>
      <c r="I62">
        <v>-27.348968750184873</v>
      </c>
    </row>
    <row r="63" spans="1:9">
      <c r="A63" s="7">
        <v>62</v>
      </c>
      <c r="B63" s="8">
        <v>14</v>
      </c>
      <c r="C63" s="9" t="s">
        <v>29</v>
      </c>
      <c r="D63" s="10" t="s">
        <v>42</v>
      </c>
      <c r="E63" s="10" t="s">
        <v>26</v>
      </c>
      <c r="F63" t="s">
        <v>47</v>
      </c>
      <c r="G63" s="9" t="s">
        <v>48</v>
      </c>
      <c r="H63">
        <v>3.0747723897462378</v>
      </c>
      <c r="I63">
        <v>-27.894936191839406</v>
      </c>
    </row>
    <row r="64" spans="1:9">
      <c r="A64" s="7">
        <v>63</v>
      </c>
      <c r="B64" s="8">
        <v>15</v>
      </c>
      <c r="C64" s="9" t="s">
        <v>29</v>
      </c>
      <c r="D64" s="10" t="s">
        <v>44</v>
      </c>
      <c r="E64" s="10" t="s">
        <v>24</v>
      </c>
      <c r="F64" t="s">
        <v>47</v>
      </c>
      <c r="G64" s="9" t="s">
        <v>48</v>
      </c>
      <c r="H64">
        <v>3.2140209508460917</v>
      </c>
      <c r="I64">
        <v>-27.522824304231289</v>
      </c>
    </row>
    <row r="65" spans="1:9">
      <c r="A65" s="7">
        <v>64</v>
      </c>
      <c r="B65" s="8">
        <v>16</v>
      </c>
      <c r="C65" s="9" t="s">
        <v>29</v>
      </c>
      <c r="D65" s="10" t="s">
        <v>43</v>
      </c>
      <c r="E65" s="10" t="s">
        <v>24</v>
      </c>
      <c r="F65" t="s">
        <v>47</v>
      </c>
      <c r="G65" s="9" t="s">
        <v>48</v>
      </c>
      <c r="H65">
        <v>3.3306922978341658</v>
      </c>
      <c r="I65">
        <v>-27.448605266538959</v>
      </c>
    </row>
    <row r="66" spans="1:9">
      <c r="A66" s="7"/>
      <c r="B66" s="7"/>
      <c r="C66" s="7"/>
      <c r="D66" s="7"/>
      <c r="E66" s="7"/>
      <c r="G66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3450-264A-4283-93E5-3B0E1B471A47}">
  <dimension ref="A1:H97"/>
  <sheetViews>
    <sheetView workbookViewId="0">
      <selection activeCell="R10" sqref="R10"/>
    </sheetView>
  </sheetViews>
  <sheetFormatPr defaultRowHeight="15"/>
  <sheetData>
    <row r="1" spans="1:8" s="1" customFormat="1">
      <c r="A1" s="5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49</v>
      </c>
      <c r="G1" s="1" t="s">
        <v>50</v>
      </c>
      <c r="H1" s="1" t="s">
        <v>51</v>
      </c>
    </row>
    <row r="2" spans="1:8">
      <c r="A2">
        <v>1</v>
      </c>
      <c r="B2" t="s">
        <v>38</v>
      </c>
      <c r="C2" t="s">
        <v>1</v>
      </c>
      <c r="D2" t="s">
        <v>24</v>
      </c>
      <c r="E2" t="s">
        <v>25</v>
      </c>
      <c r="F2">
        <v>0.42964131640263287</v>
      </c>
      <c r="G2">
        <v>0.32214476732157749</v>
      </c>
      <c r="H2">
        <v>25.227757704349401</v>
      </c>
    </row>
    <row r="3" spans="1:8">
      <c r="A3">
        <v>2</v>
      </c>
      <c r="B3" t="s">
        <v>38</v>
      </c>
      <c r="C3" t="s">
        <v>5</v>
      </c>
      <c r="D3" t="s">
        <v>24</v>
      </c>
      <c r="E3" t="s">
        <v>25</v>
      </c>
      <c r="F3">
        <v>0.38856117877286284</v>
      </c>
      <c r="G3">
        <v>0.29584846819897587</v>
      </c>
      <c r="H3">
        <v>23.824300069425963</v>
      </c>
    </row>
    <row r="4" spans="1:8">
      <c r="A4">
        <v>3</v>
      </c>
      <c r="B4" t="s">
        <v>38</v>
      </c>
      <c r="C4" t="s">
        <v>3</v>
      </c>
      <c r="D4" t="s">
        <v>26</v>
      </c>
      <c r="E4" t="s">
        <v>25</v>
      </c>
      <c r="F4">
        <v>0.43378877832381946</v>
      </c>
      <c r="G4">
        <v>0.32279616006837364</v>
      </c>
      <c r="H4">
        <v>25.670786917111119</v>
      </c>
    </row>
    <row r="5" spans="1:8">
      <c r="A5">
        <v>4</v>
      </c>
      <c r="B5" t="s">
        <v>38</v>
      </c>
      <c r="C5" t="s">
        <v>7</v>
      </c>
      <c r="D5" t="s">
        <v>26</v>
      </c>
      <c r="E5" t="s">
        <v>25</v>
      </c>
      <c r="F5">
        <v>0.42214765015312866</v>
      </c>
      <c r="G5">
        <v>0.30967864059230288</v>
      </c>
      <c r="H5">
        <v>26.725750900835511</v>
      </c>
    </row>
    <row r="6" spans="1:8">
      <c r="A6">
        <v>5</v>
      </c>
      <c r="B6" t="s">
        <v>38</v>
      </c>
      <c r="C6" t="s">
        <v>5</v>
      </c>
      <c r="D6" t="s">
        <v>27</v>
      </c>
      <c r="E6" t="s">
        <v>25</v>
      </c>
      <c r="F6">
        <v>0.4405695796831593</v>
      </c>
      <c r="G6">
        <v>0.31639521416046801</v>
      </c>
      <c r="H6">
        <v>28.140415738080531</v>
      </c>
    </row>
    <row r="7" spans="1:8">
      <c r="A7">
        <v>6</v>
      </c>
      <c r="B7" t="s">
        <v>38</v>
      </c>
      <c r="C7" t="s">
        <v>1</v>
      </c>
      <c r="D7" t="s">
        <v>27</v>
      </c>
      <c r="E7" t="s">
        <v>25</v>
      </c>
      <c r="F7">
        <v>0.40113965114346617</v>
      </c>
      <c r="G7">
        <v>0.29803496874671381</v>
      </c>
      <c r="H7">
        <v>25.726905188612591</v>
      </c>
    </row>
    <row r="8" spans="1:8">
      <c r="A8">
        <v>7</v>
      </c>
      <c r="B8" t="s">
        <v>38</v>
      </c>
      <c r="C8" t="s">
        <v>7</v>
      </c>
      <c r="D8" t="s">
        <v>28</v>
      </c>
      <c r="E8" t="s">
        <v>25</v>
      </c>
      <c r="F8">
        <v>0.42710209293570567</v>
      </c>
      <c r="G8">
        <v>0.34026336362002213</v>
      </c>
      <c r="H8">
        <v>20.238608449142877</v>
      </c>
    </row>
    <row r="9" spans="1:8">
      <c r="A9">
        <v>8</v>
      </c>
      <c r="B9" t="s">
        <v>38</v>
      </c>
      <c r="C9" t="s">
        <v>3</v>
      </c>
      <c r="D9" t="s">
        <v>28</v>
      </c>
      <c r="E9" t="s">
        <v>25</v>
      </c>
      <c r="F9">
        <v>0.37090044395605842</v>
      </c>
      <c r="G9">
        <v>0.27855444651329947</v>
      </c>
      <c r="H9">
        <v>25.133134994526923</v>
      </c>
    </row>
    <row r="10" spans="1:8">
      <c r="A10">
        <v>9</v>
      </c>
      <c r="B10" t="s">
        <v>38</v>
      </c>
      <c r="C10" t="s">
        <v>5</v>
      </c>
      <c r="D10" t="s">
        <v>28</v>
      </c>
      <c r="E10" t="s">
        <v>25</v>
      </c>
      <c r="F10">
        <v>0.44568999725283059</v>
      </c>
      <c r="G10">
        <v>0.33451635413381053</v>
      </c>
      <c r="H10">
        <v>24.917161209286292</v>
      </c>
    </row>
    <row r="11" spans="1:8">
      <c r="A11">
        <v>10</v>
      </c>
      <c r="B11" t="s">
        <v>38</v>
      </c>
      <c r="C11" t="s">
        <v>1</v>
      </c>
      <c r="D11" t="s">
        <v>28</v>
      </c>
      <c r="E11" t="s">
        <v>25</v>
      </c>
      <c r="F11">
        <v>0.39366697021187086</v>
      </c>
      <c r="G11">
        <v>0.2992152338993852</v>
      </c>
      <c r="H11">
        <v>23.871211691708293</v>
      </c>
    </row>
    <row r="12" spans="1:8">
      <c r="A12">
        <v>11</v>
      </c>
      <c r="B12" t="s">
        <v>38</v>
      </c>
      <c r="C12" t="s">
        <v>3</v>
      </c>
      <c r="D12" t="s">
        <v>27</v>
      </c>
      <c r="E12" t="s">
        <v>25</v>
      </c>
      <c r="F12">
        <v>0.41455058351902119</v>
      </c>
      <c r="G12">
        <v>0.31783217850492901</v>
      </c>
      <c r="H12">
        <v>23.378414865536779</v>
      </c>
    </row>
    <row r="13" spans="1:8">
      <c r="A13">
        <v>12</v>
      </c>
      <c r="B13" t="s">
        <v>38</v>
      </c>
      <c r="C13" t="s">
        <v>7</v>
      </c>
      <c r="D13" t="s">
        <v>27</v>
      </c>
      <c r="E13" t="s">
        <v>25</v>
      </c>
      <c r="F13">
        <v>0.38598337623664952</v>
      </c>
      <c r="G13">
        <v>0.29574735712178052</v>
      </c>
      <c r="H13">
        <v>23.376275411965569</v>
      </c>
    </row>
    <row r="14" spans="1:8">
      <c r="A14">
        <v>13</v>
      </c>
      <c r="B14" t="s">
        <v>38</v>
      </c>
      <c r="C14" t="s">
        <v>1</v>
      </c>
      <c r="D14" t="s">
        <v>26</v>
      </c>
      <c r="E14" t="s">
        <v>25</v>
      </c>
      <c r="F14">
        <v>0.42042749000335738</v>
      </c>
      <c r="G14">
        <v>0.31701099545869182</v>
      </c>
      <c r="H14">
        <v>24.664145236071715</v>
      </c>
    </row>
    <row r="15" spans="1:8">
      <c r="A15">
        <v>14</v>
      </c>
      <c r="B15" t="s">
        <v>38</v>
      </c>
      <c r="C15" t="s">
        <v>5</v>
      </c>
      <c r="D15" t="s">
        <v>26</v>
      </c>
      <c r="E15" t="s">
        <v>25</v>
      </c>
      <c r="F15">
        <v>0.45372016693290401</v>
      </c>
      <c r="G15">
        <v>0.34136201920304904</v>
      </c>
      <c r="H15">
        <v>24.812531396169913</v>
      </c>
    </row>
    <row r="16" spans="1:8">
      <c r="A16">
        <v>15</v>
      </c>
      <c r="B16" t="s">
        <v>38</v>
      </c>
      <c r="C16" t="s">
        <v>7</v>
      </c>
      <c r="D16" t="s">
        <v>24</v>
      </c>
      <c r="E16" t="s">
        <v>25</v>
      </c>
      <c r="F16">
        <v>0.4215541260102626</v>
      </c>
      <c r="G16">
        <v>0.32264078392668732</v>
      </c>
      <c r="H16">
        <v>23.552303285355872</v>
      </c>
    </row>
    <row r="17" spans="1:8">
      <c r="A17">
        <v>16</v>
      </c>
      <c r="B17" t="s">
        <v>38</v>
      </c>
      <c r="C17" t="s">
        <v>3</v>
      </c>
      <c r="D17" t="s">
        <v>24</v>
      </c>
      <c r="E17" t="s">
        <v>25</v>
      </c>
      <c r="F17">
        <v>0.37267359733287148</v>
      </c>
      <c r="G17">
        <v>0.27372527971944949</v>
      </c>
      <c r="H17">
        <v>26.594516086265525</v>
      </c>
    </row>
    <row r="18" spans="1:8">
      <c r="A18">
        <v>1</v>
      </c>
      <c r="B18" t="s">
        <v>29</v>
      </c>
      <c r="C18" t="s">
        <v>1</v>
      </c>
      <c r="D18" t="s">
        <v>24</v>
      </c>
      <c r="E18" t="s">
        <v>25</v>
      </c>
      <c r="F18">
        <v>0.32972195089689915</v>
      </c>
      <c r="G18">
        <v>0.23764452312878748</v>
      </c>
      <c r="H18">
        <v>27.961530477200871</v>
      </c>
    </row>
    <row r="19" spans="1:8">
      <c r="A19">
        <v>2</v>
      </c>
      <c r="B19" t="s">
        <v>29</v>
      </c>
      <c r="C19" t="s">
        <v>5</v>
      </c>
      <c r="D19" t="s">
        <v>24</v>
      </c>
      <c r="E19" t="s">
        <v>25</v>
      </c>
      <c r="F19">
        <v>0.3579088363874387</v>
      </c>
      <c r="G19">
        <v>0.25230753707830067</v>
      </c>
      <c r="H19">
        <v>29.954520312920447</v>
      </c>
    </row>
    <row r="20" spans="1:8">
      <c r="A20">
        <v>3</v>
      </c>
      <c r="B20" t="s">
        <v>29</v>
      </c>
      <c r="C20" t="s">
        <v>3</v>
      </c>
      <c r="D20" t="s">
        <v>26</v>
      </c>
      <c r="E20" t="s">
        <v>25</v>
      </c>
      <c r="F20">
        <v>0.3416168106386655</v>
      </c>
      <c r="G20">
        <v>0.24491858544543099</v>
      </c>
      <c r="H20">
        <v>28.232670440491301</v>
      </c>
    </row>
    <row r="21" spans="1:8">
      <c r="A21">
        <v>4</v>
      </c>
      <c r="B21" t="s">
        <v>29</v>
      </c>
      <c r="C21" t="s">
        <v>7</v>
      </c>
      <c r="D21" t="s">
        <v>26</v>
      </c>
      <c r="E21" t="s">
        <v>25</v>
      </c>
      <c r="F21">
        <v>0.38310266441466617</v>
      </c>
      <c r="G21">
        <v>0.27844824808630819</v>
      </c>
      <c r="H21">
        <v>27.510673254836306</v>
      </c>
    </row>
    <row r="22" spans="1:8">
      <c r="A22">
        <v>5</v>
      </c>
      <c r="B22" t="s">
        <v>29</v>
      </c>
      <c r="C22" t="s">
        <v>5</v>
      </c>
      <c r="D22" t="s">
        <v>27</v>
      </c>
      <c r="E22" t="s">
        <v>25</v>
      </c>
      <c r="F22">
        <v>0.35134573120478568</v>
      </c>
      <c r="G22">
        <v>0.25864425519503148</v>
      </c>
      <c r="H22">
        <v>26.328347981669975</v>
      </c>
    </row>
    <row r="23" spans="1:8">
      <c r="A23">
        <v>6</v>
      </c>
      <c r="B23" t="s">
        <v>29</v>
      </c>
      <c r="C23" t="s">
        <v>1</v>
      </c>
      <c r="D23" t="s">
        <v>27</v>
      </c>
      <c r="E23" t="s">
        <v>25</v>
      </c>
      <c r="F23">
        <v>0.33682304332047902</v>
      </c>
      <c r="G23">
        <v>0.23692360326811315</v>
      </c>
      <c r="H23">
        <v>29.585926978957804</v>
      </c>
    </row>
    <row r="24" spans="1:8">
      <c r="A24">
        <v>7</v>
      </c>
      <c r="B24" t="s">
        <v>29</v>
      </c>
      <c r="C24" t="s">
        <v>7</v>
      </c>
      <c r="D24" t="s">
        <v>28</v>
      </c>
      <c r="E24" t="s">
        <v>25</v>
      </c>
      <c r="F24">
        <v>0.36938420174394304</v>
      </c>
      <c r="G24">
        <v>0.2777654833491035</v>
      </c>
      <c r="H24">
        <v>24.66484382664127</v>
      </c>
    </row>
    <row r="25" spans="1:8">
      <c r="A25">
        <v>8</v>
      </c>
      <c r="B25" t="s">
        <v>29</v>
      </c>
      <c r="C25" t="s">
        <v>3</v>
      </c>
      <c r="D25" t="s">
        <v>28</v>
      </c>
      <c r="E25" t="s">
        <v>25</v>
      </c>
      <c r="F25">
        <v>0.28996770380771136</v>
      </c>
      <c r="G25">
        <v>0.21399682549372687</v>
      </c>
      <c r="H25">
        <v>25.741299184515515</v>
      </c>
    </row>
    <row r="26" spans="1:8">
      <c r="A26">
        <v>9</v>
      </c>
      <c r="B26" t="s">
        <v>29</v>
      </c>
      <c r="C26" t="s">
        <v>5</v>
      </c>
      <c r="D26" t="s">
        <v>28</v>
      </c>
      <c r="E26" t="s">
        <v>25</v>
      </c>
      <c r="F26">
        <v>0.34963341405261622</v>
      </c>
      <c r="G26">
        <v>0.25606602871300183</v>
      </c>
      <c r="H26">
        <v>26.717451157945519</v>
      </c>
    </row>
    <row r="27" spans="1:8">
      <c r="A27">
        <v>10</v>
      </c>
      <c r="B27" t="s">
        <v>29</v>
      </c>
      <c r="C27" t="s">
        <v>1</v>
      </c>
      <c r="D27" t="s">
        <v>28</v>
      </c>
      <c r="E27" t="s">
        <v>25</v>
      </c>
      <c r="F27">
        <v>0.37512188442219535</v>
      </c>
      <c r="G27">
        <v>0.27688515986148798</v>
      </c>
      <c r="H27">
        <v>25.901490846960183</v>
      </c>
    </row>
    <row r="28" spans="1:8">
      <c r="A28">
        <v>11</v>
      </c>
      <c r="B28" t="s">
        <v>29</v>
      </c>
      <c r="C28" t="s">
        <v>3</v>
      </c>
      <c r="D28" t="s">
        <v>27</v>
      </c>
      <c r="E28" t="s">
        <v>25</v>
      </c>
      <c r="F28">
        <v>0.36553477373163829</v>
      </c>
      <c r="G28">
        <v>0.25648382731499814</v>
      </c>
      <c r="H28">
        <v>29.864017556352081</v>
      </c>
    </row>
    <row r="29" spans="1:8">
      <c r="A29">
        <v>12</v>
      </c>
      <c r="B29" t="s">
        <v>29</v>
      </c>
      <c r="C29" t="s">
        <v>7</v>
      </c>
      <c r="D29" t="s">
        <v>27</v>
      </c>
      <c r="E29" t="s">
        <v>25</v>
      </c>
      <c r="F29">
        <v>0.36118593754769335</v>
      </c>
      <c r="G29">
        <v>0.24455208428721098</v>
      </c>
      <c r="H29">
        <v>32.660721173027099</v>
      </c>
    </row>
    <row r="30" spans="1:8">
      <c r="A30">
        <v>13</v>
      </c>
      <c r="B30" t="s">
        <v>29</v>
      </c>
      <c r="C30" t="s">
        <v>1</v>
      </c>
      <c r="D30" t="s">
        <v>26</v>
      </c>
      <c r="E30" t="s">
        <v>25</v>
      </c>
      <c r="F30">
        <v>0.38006827223426171</v>
      </c>
      <c r="G30">
        <v>0.25336125440479668</v>
      </c>
      <c r="H30">
        <v>33.339600661426857</v>
      </c>
    </row>
    <row r="31" spans="1:8">
      <c r="A31">
        <v>14</v>
      </c>
      <c r="B31" t="s">
        <v>29</v>
      </c>
      <c r="C31" t="s">
        <v>5</v>
      </c>
      <c r="D31" t="s">
        <v>26</v>
      </c>
      <c r="E31" t="s">
        <v>25</v>
      </c>
      <c r="F31">
        <v>0.3885160285434231</v>
      </c>
      <c r="G31">
        <v>0.26169899677461983</v>
      </c>
      <c r="H31">
        <v>32.734878702164458</v>
      </c>
    </row>
    <row r="32" spans="1:8">
      <c r="A32">
        <v>15</v>
      </c>
      <c r="B32" t="s">
        <v>29</v>
      </c>
      <c r="C32" t="s">
        <v>7</v>
      </c>
      <c r="D32" t="s">
        <v>24</v>
      </c>
      <c r="E32" t="s">
        <v>25</v>
      </c>
      <c r="F32">
        <v>0.34074284633829482</v>
      </c>
      <c r="G32">
        <v>0.25877652628972753</v>
      </c>
      <c r="H32">
        <v>24.110443826581413</v>
      </c>
    </row>
    <row r="33" spans="1:8">
      <c r="A33">
        <v>16</v>
      </c>
      <c r="B33" t="s">
        <v>29</v>
      </c>
      <c r="C33" t="s">
        <v>3</v>
      </c>
      <c r="D33" t="s">
        <v>24</v>
      </c>
      <c r="E33" t="s">
        <v>25</v>
      </c>
      <c r="F33">
        <v>0.37076075380957668</v>
      </c>
      <c r="G33">
        <v>0.28044333709797181</v>
      </c>
      <c r="H33">
        <v>24.339188332287677</v>
      </c>
    </row>
    <row r="34" spans="1:8">
      <c r="A34" s="13">
        <v>1</v>
      </c>
      <c r="B34" s="13" t="s">
        <v>38</v>
      </c>
      <c r="C34" s="13" t="s">
        <v>1</v>
      </c>
      <c r="D34" s="13" t="s">
        <v>24</v>
      </c>
      <c r="E34" s="13" t="s">
        <v>30</v>
      </c>
      <c r="F34" s="13">
        <v>0.46736719473357502</v>
      </c>
      <c r="G34" s="13">
        <v>0.30850833816631529</v>
      </c>
      <c r="H34" s="13">
        <v>34.151105928887475</v>
      </c>
    </row>
    <row r="35" spans="1:8">
      <c r="A35" s="13">
        <v>2</v>
      </c>
      <c r="B35" s="13" t="s">
        <v>38</v>
      </c>
      <c r="C35" s="13" t="s">
        <v>5</v>
      </c>
      <c r="D35" s="13" t="s">
        <v>24</v>
      </c>
      <c r="E35" s="13" t="s">
        <v>30</v>
      </c>
      <c r="F35" s="13">
        <v>0.52433851734277481</v>
      </c>
      <c r="G35" s="13">
        <v>0.34396430461015576</v>
      </c>
      <c r="H35" s="13">
        <v>34.105700774324099</v>
      </c>
    </row>
    <row r="36" spans="1:8">
      <c r="A36" s="13">
        <v>3</v>
      </c>
      <c r="B36" s="13" t="s">
        <v>38</v>
      </c>
      <c r="C36" s="13" t="s">
        <v>3</v>
      </c>
      <c r="D36" s="13" t="s">
        <v>26</v>
      </c>
      <c r="E36" s="13" t="s">
        <v>30</v>
      </c>
      <c r="F36" s="13">
        <v>0.48401236734735348</v>
      </c>
      <c r="G36" s="13">
        <v>0.32269536695054024</v>
      </c>
      <c r="H36" s="13">
        <v>33.28679192782495</v>
      </c>
    </row>
    <row r="37" spans="1:8">
      <c r="A37" s="13">
        <v>4</v>
      </c>
      <c r="B37" s="13" t="s">
        <v>38</v>
      </c>
      <c r="C37" s="13" t="s">
        <v>7</v>
      </c>
      <c r="D37" s="13" t="s">
        <v>26</v>
      </c>
      <c r="E37" s="13" t="s">
        <v>30</v>
      </c>
      <c r="F37" s="13">
        <v>0.47246122167617949</v>
      </c>
      <c r="G37" s="13">
        <v>0.33466844469541973</v>
      </c>
      <c r="H37" s="13">
        <v>29.245081785535824</v>
      </c>
    </row>
    <row r="38" spans="1:8">
      <c r="A38" s="13">
        <v>5</v>
      </c>
      <c r="B38" s="13" t="s">
        <v>38</v>
      </c>
      <c r="C38" s="13" t="s">
        <v>5</v>
      </c>
      <c r="D38" s="13" t="s">
        <v>27</v>
      </c>
      <c r="E38" s="13" t="s">
        <v>30</v>
      </c>
      <c r="F38" s="13">
        <v>0.51356351047485282</v>
      </c>
      <c r="G38" s="13">
        <v>0.32610834274493</v>
      </c>
      <c r="H38" s="13">
        <v>36.178711654808772</v>
      </c>
    </row>
    <row r="39" spans="1:8">
      <c r="A39" s="13">
        <v>6</v>
      </c>
      <c r="B39" s="13" t="s">
        <v>38</v>
      </c>
      <c r="C39" s="13" t="s">
        <v>1</v>
      </c>
      <c r="D39" s="13" t="s">
        <v>27</v>
      </c>
      <c r="E39" s="13" t="s">
        <v>30</v>
      </c>
      <c r="F39" s="13">
        <v>0.45923220445041324</v>
      </c>
      <c r="G39" s="13">
        <v>0.32098061210992701</v>
      </c>
      <c r="H39" s="13">
        <v>30.152888167369824</v>
      </c>
    </row>
    <row r="40" spans="1:8">
      <c r="A40" s="13">
        <v>7</v>
      </c>
      <c r="B40" s="13" t="s">
        <v>38</v>
      </c>
      <c r="C40" s="13" t="s">
        <v>7</v>
      </c>
      <c r="D40" s="13" t="s">
        <v>28</v>
      </c>
      <c r="E40" s="13" t="s">
        <v>30</v>
      </c>
      <c r="F40" s="13">
        <v>0.4559883830367405</v>
      </c>
      <c r="G40" s="13">
        <v>0.32216119522196052</v>
      </c>
      <c r="H40" s="13">
        <v>29.514817282164149</v>
      </c>
    </row>
    <row r="41" spans="1:8">
      <c r="A41" s="13">
        <v>8</v>
      </c>
      <c r="B41" s="13" t="s">
        <v>38</v>
      </c>
      <c r="C41" s="13" t="s">
        <v>3</v>
      </c>
      <c r="D41" s="13" t="s">
        <v>28</v>
      </c>
      <c r="E41" s="13" t="s">
        <v>30</v>
      </c>
      <c r="F41" s="13">
        <v>0.48164674969221477</v>
      </c>
      <c r="G41" s="13">
        <v>0.29321194916720072</v>
      </c>
      <c r="H41" s="13">
        <v>39.145847624586629</v>
      </c>
    </row>
    <row r="42" spans="1:8">
      <c r="A42" s="13">
        <v>9</v>
      </c>
      <c r="B42" s="13" t="s">
        <v>38</v>
      </c>
      <c r="C42" s="13" t="s">
        <v>5</v>
      </c>
      <c r="D42" s="13" t="s">
        <v>28</v>
      </c>
      <c r="E42" s="13" t="s">
        <v>30</v>
      </c>
      <c r="F42" s="13">
        <v>0.493166099427164</v>
      </c>
      <c r="G42" s="13">
        <v>0.28391608925246448</v>
      </c>
      <c r="H42" s="13">
        <v>42.528230054977023</v>
      </c>
    </row>
    <row r="43" spans="1:8">
      <c r="A43" s="13">
        <v>10</v>
      </c>
      <c r="B43" s="13" t="s">
        <v>38</v>
      </c>
      <c r="C43" s="13" t="s">
        <v>1</v>
      </c>
      <c r="D43" s="13" t="s">
        <v>28</v>
      </c>
      <c r="E43" s="13" t="s">
        <v>30</v>
      </c>
      <c r="F43" s="13">
        <v>0.44726071650234478</v>
      </c>
      <c r="G43" s="13">
        <v>0.32554809834864573</v>
      </c>
      <c r="H43" s="13">
        <v>26.935595689801726</v>
      </c>
    </row>
    <row r="44" spans="1:8">
      <c r="A44" s="13">
        <v>11</v>
      </c>
      <c r="B44" s="13" t="s">
        <v>38</v>
      </c>
      <c r="C44" s="13" t="s">
        <v>3</v>
      </c>
      <c r="D44" s="13" t="s">
        <v>27</v>
      </c>
      <c r="E44" s="13" t="s">
        <v>30</v>
      </c>
      <c r="F44" s="13">
        <v>0.48744346682539147</v>
      </c>
      <c r="G44" s="13">
        <v>0.34307497227394324</v>
      </c>
      <c r="H44" s="13">
        <v>29.691988160025801</v>
      </c>
    </row>
    <row r="45" spans="1:8">
      <c r="A45" s="13">
        <v>12</v>
      </c>
      <c r="B45" s="13" t="s">
        <v>38</v>
      </c>
      <c r="C45" s="13" t="s">
        <v>7</v>
      </c>
      <c r="D45" s="13" t="s">
        <v>27</v>
      </c>
      <c r="E45" s="13" t="s">
        <v>30</v>
      </c>
      <c r="F45" s="13">
        <v>0.51028725720623047</v>
      </c>
      <c r="G45" s="13">
        <v>0.31771739517515724</v>
      </c>
      <c r="H45" s="13">
        <v>37.320443299311499</v>
      </c>
    </row>
    <row r="46" spans="1:8">
      <c r="A46" s="13">
        <v>13</v>
      </c>
      <c r="B46" s="13" t="s">
        <v>38</v>
      </c>
      <c r="C46" s="13" t="s">
        <v>1</v>
      </c>
      <c r="D46" s="13" t="s">
        <v>26</v>
      </c>
      <c r="E46" s="13" t="s">
        <v>30</v>
      </c>
      <c r="F46" s="13">
        <v>0.60149644394249224</v>
      </c>
      <c r="G46" s="13">
        <v>0.37322546879928326</v>
      </c>
      <c r="H46" s="13">
        <v>38.072642843468728</v>
      </c>
    </row>
    <row r="47" spans="1:8">
      <c r="A47" s="13">
        <v>14</v>
      </c>
      <c r="B47" s="13" t="s">
        <v>38</v>
      </c>
      <c r="C47" s="13" t="s">
        <v>5</v>
      </c>
      <c r="D47" s="13" t="s">
        <v>26</v>
      </c>
      <c r="E47" s="13" t="s">
        <v>30</v>
      </c>
      <c r="F47" s="13">
        <v>0.49024373492872575</v>
      </c>
      <c r="G47" s="13">
        <v>0.25368928248018424</v>
      </c>
      <c r="H47" s="13">
        <v>48.293773696282656</v>
      </c>
    </row>
    <row r="48" spans="1:8">
      <c r="A48" s="13">
        <v>15</v>
      </c>
      <c r="B48" s="13" t="s">
        <v>38</v>
      </c>
      <c r="C48" s="13" t="s">
        <v>7</v>
      </c>
      <c r="D48" s="13" t="s">
        <v>24</v>
      </c>
      <c r="E48" s="13" t="s">
        <v>30</v>
      </c>
      <c r="F48" s="13">
        <v>0.5741748318630886</v>
      </c>
      <c r="G48" s="13">
        <v>0.33030254469236747</v>
      </c>
      <c r="H48" s="13">
        <v>42.546394136900446</v>
      </c>
    </row>
    <row r="49" spans="1:8">
      <c r="A49" s="13">
        <v>16</v>
      </c>
      <c r="B49" s="13" t="s">
        <v>38</v>
      </c>
      <c r="C49" s="13" t="s">
        <v>3</v>
      </c>
      <c r="D49" s="13" t="s">
        <v>24</v>
      </c>
      <c r="E49" s="13" t="s">
        <v>30</v>
      </c>
      <c r="F49" s="13">
        <v>0.58358197755461227</v>
      </c>
      <c r="G49" s="13">
        <v>0.348287916018029</v>
      </c>
      <c r="H49" s="13">
        <v>40.495383205769926</v>
      </c>
    </row>
    <row r="50" spans="1:8">
      <c r="A50" s="13">
        <v>1</v>
      </c>
      <c r="B50" s="13" t="s">
        <v>29</v>
      </c>
      <c r="C50" s="13" t="s">
        <v>1</v>
      </c>
      <c r="D50" s="13" t="s">
        <v>24</v>
      </c>
      <c r="E50" s="13" t="s">
        <v>30</v>
      </c>
      <c r="F50" s="13">
        <v>0.47127745897052353</v>
      </c>
      <c r="G50" s="13">
        <v>0.30926571736719422</v>
      </c>
      <c r="H50" s="13">
        <v>34.231333416928507</v>
      </c>
    </row>
    <row r="51" spans="1:8">
      <c r="A51" s="13">
        <v>2</v>
      </c>
      <c r="B51" s="13" t="s">
        <v>29</v>
      </c>
      <c r="C51" s="13" t="s">
        <v>5</v>
      </c>
      <c r="D51" s="13" t="s">
        <v>24</v>
      </c>
      <c r="E51" s="13" t="s">
        <v>30</v>
      </c>
      <c r="F51" s="13">
        <v>0.48784186990629047</v>
      </c>
      <c r="G51" s="13">
        <v>0.34717760192505276</v>
      </c>
      <c r="H51" s="13">
        <v>28.9903199628015</v>
      </c>
    </row>
    <row r="52" spans="1:8">
      <c r="A52" s="13">
        <v>3</v>
      </c>
      <c r="B52" s="13" t="s">
        <v>29</v>
      </c>
      <c r="C52" s="13" t="s">
        <v>3</v>
      </c>
      <c r="D52" s="13" t="s">
        <v>26</v>
      </c>
      <c r="E52" s="13" t="s">
        <v>30</v>
      </c>
      <c r="F52" s="13">
        <v>0.41810034543105046</v>
      </c>
      <c r="G52" s="13">
        <v>0.28524833898029128</v>
      </c>
      <c r="H52" s="13">
        <v>31.380424080469727</v>
      </c>
    </row>
    <row r="53" spans="1:8">
      <c r="A53" s="13">
        <v>4</v>
      </c>
      <c r="B53" s="13" t="s">
        <v>29</v>
      </c>
      <c r="C53" s="13" t="s">
        <v>7</v>
      </c>
      <c r="D53" s="13" t="s">
        <v>26</v>
      </c>
      <c r="E53" s="13" t="s">
        <v>30</v>
      </c>
      <c r="F53" s="13">
        <v>0.5131864106712245</v>
      </c>
      <c r="G53" s="13">
        <v>0.36583227770825028</v>
      </c>
      <c r="H53" s="13">
        <v>29.030657350352424</v>
      </c>
    </row>
    <row r="54" spans="1:8">
      <c r="A54" s="13">
        <v>5</v>
      </c>
      <c r="B54" s="13" t="s">
        <v>29</v>
      </c>
      <c r="C54" s="13" t="s">
        <v>5</v>
      </c>
      <c r="D54" s="13" t="s">
        <v>27</v>
      </c>
      <c r="E54" s="13" t="s">
        <v>30</v>
      </c>
      <c r="F54" s="13">
        <v>0.408619115208123</v>
      </c>
      <c r="G54" s="13">
        <v>0.26025546127000576</v>
      </c>
      <c r="H54" s="13">
        <v>36.0740683148301</v>
      </c>
    </row>
    <row r="55" spans="1:8">
      <c r="A55" s="13">
        <v>6</v>
      </c>
      <c r="B55" s="13" t="s">
        <v>29</v>
      </c>
      <c r="C55" s="13" t="s">
        <v>1</v>
      </c>
      <c r="D55" s="13" t="s">
        <v>27</v>
      </c>
      <c r="E55" s="13" t="s">
        <v>30</v>
      </c>
      <c r="F55" s="13">
        <v>0.47701376382487254</v>
      </c>
      <c r="G55" s="13">
        <v>0.30078224362300676</v>
      </c>
      <c r="H55" s="13">
        <v>36.860571180288723</v>
      </c>
    </row>
    <row r="56" spans="1:8">
      <c r="A56" s="13">
        <v>7</v>
      </c>
      <c r="B56" s="13" t="s">
        <v>29</v>
      </c>
      <c r="C56" s="13" t="s">
        <v>7</v>
      </c>
      <c r="D56" s="13" t="s">
        <v>28</v>
      </c>
      <c r="E56" s="13" t="s">
        <v>30</v>
      </c>
      <c r="F56" s="13">
        <v>0.40774027553086445</v>
      </c>
      <c r="G56" s="13">
        <v>0.25502693751716948</v>
      </c>
      <c r="H56" s="13">
        <v>37.441983507510372</v>
      </c>
    </row>
    <row r="57" spans="1:8">
      <c r="A57" s="13">
        <v>8</v>
      </c>
      <c r="B57" s="13" t="s">
        <v>29</v>
      </c>
      <c r="C57" s="13" t="s">
        <v>3</v>
      </c>
      <c r="D57" s="13" t="s">
        <v>28</v>
      </c>
      <c r="E57" s="13" t="s">
        <v>30</v>
      </c>
      <c r="F57" s="13">
        <v>0.43884560402104078</v>
      </c>
      <c r="G57" s="13">
        <v>0.29192866518116001</v>
      </c>
      <c r="H57" s="13">
        <v>33.74323196595045</v>
      </c>
    </row>
    <row r="58" spans="1:8">
      <c r="A58" s="13">
        <v>9</v>
      </c>
      <c r="B58" s="13" t="s">
        <v>29</v>
      </c>
      <c r="C58" s="13" t="s">
        <v>5</v>
      </c>
      <c r="D58" s="13" t="s">
        <v>28</v>
      </c>
      <c r="E58" s="13" t="s">
        <v>30</v>
      </c>
      <c r="F58" s="13">
        <v>0.47461539635542199</v>
      </c>
      <c r="G58" s="13">
        <v>0.23365625286163375</v>
      </c>
      <c r="H58" s="13">
        <v>50.673319913646601</v>
      </c>
    </row>
    <row r="59" spans="1:8">
      <c r="A59" s="13">
        <v>10</v>
      </c>
      <c r="B59" s="13" t="s">
        <v>29</v>
      </c>
      <c r="C59" s="13" t="s">
        <v>1</v>
      </c>
      <c r="D59" s="13" t="s">
        <v>28</v>
      </c>
      <c r="E59" s="13" t="s">
        <v>30</v>
      </c>
      <c r="F59" s="13">
        <v>0.4130848544509218</v>
      </c>
      <c r="G59" s="13">
        <v>0.26373139301812049</v>
      </c>
      <c r="H59" s="13">
        <v>35.881829937847954</v>
      </c>
    </row>
    <row r="60" spans="1:8">
      <c r="A60" s="13">
        <v>11</v>
      </c>
      <c r="B60" s="13" t="s">
        <v>29</v>
      </c>
      <c r="C60" s="13" t="s">
        <v>3</v>
      </c>
      <c r="D60" s="13" t="s">
        <v>27</v>
      </c>
      <c r="E60" s="13" t="s">
        <v>30</v>
      </c>
      <c r="F60" s="13">
        <v>0.46935730238189677</v>
      </c>
      <c r="G60" s="13">
        <v>0.32153799487195101</v>
      </c>
      <c r="H60" s="13">
        <v>31.238476485102424</v>
      </c>
    </row>
    <row r="61" spans="1:8">
      <c r="A61" s="13">
        <v>12</v>
      </c>
      <c r="B61" s="13" t="s">
        <v>29</v>
      </c>
      <c r="C61" s="13" t="s">
        <v>7</v>
      </c>
      <c r="D61" s="13" t="s">
        <v>27</v>
      </c>
      <c r="E61" s="13" t="s">
        <v>30</v>
      </c>
      <c r="F61" s="13">
        <v>0.39295262151134974</v>
      </c>
      <c r="G61" s="13">
        <v>0.25916772229174878</v>
      </c>
      <c r="H61" s="13">
        <v>33.23825966674778</v>
      </c>
    </row>
    <row r="62" spans="1:8">
      <c r="A62" s="13">
        <v>13</v>
      </c>
      <c r="B62" s="13" t="s">
        <v>29</v>
      </c>
      <c r="C62" s="13" t="s">
        <v>1</v>
      </c>
      <c r="D62" s="13" t="s">
        <v>26</v>
      </c>
      <c r="E62" s="13" t="s">
        <v>30</v>
      </c>
      <c r="F62" s="13">
        <v>0.48363844713734772</v>
      </c>
      <c r="G62" s="13">
        <v>0.28246778435741626</v>
      </c>
      <c r="H62" s="13">
        <v>41.737605542341647</v>
      </c>
    </row>
    <row r="63" spans="1:8">
      <c r="A63" s="13">
        <v>14</v>
      </c>
      <c r="B63" s="13" t="s">
        <v>29</v>
      </c>
      <c r="C63" s="13" t="s">
        <v>5</v>
      </c>
      <c r="D63" s="13" t="s">
        <v>26</v>
      </c>
      <c r="E63" s="13" t="s">
        <v>30</v>
      </c>
      <c r="F63" s="13">
        <v>0.41675505936937152</v>
      </c>
      <c r="G63" s="13">
        <v>0.21583399468880626</v>
      </c>
      <c r="H63" s="13">
        <v>47.836237985388472</v>
      </c>
    </row>
    <row r="64" spans="1:8">
      <c r="A64" s="13">
        <v>15</v>
      </c>
      <c r="B64" s="13" t="s">
        <v>29</v>
      </c>
      <c r="C64" s="13" t="s">
        <v>7</v>
      </c>
      <c r="D64" s="13" t="s">
        <v>24</v>
      </c>
      <c r="E64" s="13" t="s">
        <v>30</v>
      </c>
      <c r="F64" s="13">
        <v>0.48563141641992952</v>
      </c>
      <c r="G64" s="13">
        <v>0.30724985501053048</v>
      </c>
      <c r="H64" s="13">
        <v>36.974860664840676</v>
      </c>
    </row>
    <row r="65" spans="1:8">
      <c r="A65" s="13">
        <v>16</v>
      </c>
      <c r="B65" s="13" t="s">
        <v>29</v>
      </c>
      <c r="C65" s="13" t="s">
        <v>3</v>
      </c>
      <c r="D65" s="13" t="s">
        <v>24</v>
      </c>
      <c r="E65" s="13" t="s">
        <v>30</v>
      </c>
      <c r="F65" s="13">
        <v>0.48124898253004023</v>
      </c>
      <c r="G65" s="13">
        <v>0.31492157850289426</v>
      </c>
      <c r="H65" s="13">
        <v>34.162224465435472</v>
      </c>
    </row>
    <row r="66" spans="1:8">
      <c r="A66" s="14">
        <v>1</v>
      </c>
      <c r="B66" s="14" t="s">
        <v>38</v>
      </c>
      <c r="C66" s="14" t="s">
        <v>1</v>
      </c>
      <c r="D66" s="14" t="s">
        <v>24</v>
      </c>
      <c r="E66" s="14" t="s">
        <v>52</v>
      </c>
      <c r="F66" s="15">
        <v>0.56493779443036907</v>
      </c>
      <c r="G66" s="15">
        <v>0.395403452275571</v>
      </c>
      <c r="H66" s="15">
        <v>30.744133099900051</v>
      </c>
    </row>
    <row r="67" spans="1:8">
      <c r="A67" s="14">
        <v>2</v>
      </c>
      <c r="B67" s="14" t="s">
        <v>38</v>
      </c>
      <c r="C67" s="14" t="s">
        <v>5</v>
      </c>
      <c r="D67" s="14" t="s">
        <v>24</v>
      </c>
      <c r="E67" s="14" t="s">
        <v>52</v>
      </c>
      <c r="F67" s="15">
        <v>0.48171320319892497</v>
      </c>
      <c r="G67" s="15">
        <v>0.32072815237630076</v>
      </c>
      <c r="H67" s="15">
        <v>33.428837324624062</v>
      </c>
    </row>
    <row r="68" spans="1:8">
      <c r="A68" s="14">
        <v>3</v>
      </c>
      <c r="B68" s="14" t="s">
        <v>38</v>
      </c>
      <c r="C68" s="14" t="s">
        <v>3</v>
      </c>
      <c r="D68" s="14" t="s">
        <v>26</v>
      </c>
      <c r="E68" s="14" t="s">
        <v>52</v>
      </c>
      <c r="F68" s="15">
        <v>0.45875144989469152</v>
      </c>
      <c r="G68" s="15">
        <v>0.29101167038043174</v>
      </c>
      <c r="H68" s="15">
        <v>36.963553148841918</v>
      </c>
    </row>
    <row r="69" spans="1:8">
      <c r="A69" s="14">
        <v>4</v>
      </c>
      <c r="B69" s="14" t="s">
        <v>38</v>
      </c>
      <c r="C69" s="14" t="s">
        <v>7</v>
      </c>
      <c r="D69" s="14" t="s">
        <v>26</v>
      </c>
      <c r="E69" s="14" t="s">
        <v>52</v>
      </c>
      <c r="F69" s="15">
        <v>0.46157588290955676</v>
      </c>
      <c r="G69" s="15">
        <v>0.3107575826948703</v>
      </c>
      <c r="H69" s="15">
        <v>32.713278177549618</v>
      </c>
    </row>
    <row r="70" spans="1:8">
      <c r="A70" s="14">
        <v>5</v>
      </c>
      <c r="B70" s="14" t="s">
        <v>38</v>
      </c>
      <c r="C70" s="14" t="s">
        <v>5</v>
      </c>
      <c r="D70" s="14" t="s">
        <v>27</v>
      </c>
      <c r="E70" s="14" t="s">
        <v>52</v>
      </c>
      <c r="F70" s="15">
        <v>0.55490299695776435</v>
      </c>
      <c r="G70" s="15">
        <v>0.37733127804401545</v>
      </c>
      <c r="H70" s="15">
        <v>32.037005735535693</v>
      </c>
    </row>
    <row r="71" spans="1:8">
      <c r="A71" s="14">
        <v>6</v>
      </c>
      <c r="B71" s="14" t="s">
        <v>38</v>
      </c>
      <c r="C71" s="14" t="s">
        <v>1</v>
      </c>
      <c r="D71" s="14" t="s">
        <v>27</v>
      </c>
      <c r="E71" s="14" t="s">
        <v>52</v>
      </c>
      <c r="F71" s="15">
        <v>0.50422059257450402</v>
      </c>
      <c r="G71" s="15">
        <v>0.34465364050751346</v>
      </c>
      <c r="H71" s="15">
        <v>31.676126756562535</v>
      </c>
    </row>
    <row r="72" spans="1:8">
      <c r="A72" s="14">
        <v>7</v>
      </c>
      <c r="B72" s="14" t="s">
        <v>38</v>
      </c>
      <c r="C72" s="14" t="s">
        <v>7</v>
      </c>
      <c r="D72" s="14" t="s">
        <v>28</v>
      </c>
      <c r="E72" s="14" t="s">
        <v>52</v>
      </c>
      <c r="F72" s="15">
        <v>0.38817210249992296</v>
      </c>
      <c r="G72" s="15">
        <v>0.24171048146678425</v>
      </c>
      <c r="H72" s="15">
        <v>37.962035421713104</v>
      </c>
    </row>
    <row r="73" spans="1:8">
      <c r="A73" s="14">
        <v>8</v>
      </c>
      <c r="B73" s="14" t="s">
        <v>38</v>
      </c>
      <c r="C73" s="14" t="s">
        <v>3</v>
      </c>
      <c r="D73" s="14" t="s">
        <v>28</v>
      </c>
      <c r="E73" s="14" t="s">
        <v>52</v>
      </c>
      <c r="F73" s="15">
        <v>0.47537468331247473</v>
      </c>
      <c r="G73" s="15">
        <v>0.30568295127336303</v>
      </c>
      <c r="H73" s="15">
        <v>35.907152180600775</v>
      </c>
    </row>
    <row r="74" spans="1:8">
      <c r="A74" s="14">
        <v>9</v>
      </c>
      <c r="B74" s="14" t="s">
        <v>38</v>
      </c>
      <c r="C74" s="14" t="s">
        <v>5</v>
      </c>
      <c r="D74" s="14" t="s">
        <v>28</v>
      </c>
      <c r="E74" s="14" t="s">
        <v>52</v>
      </c>
      <c r="F74" s="15">
        <v>0.46129226315842975</v>
      </c>
      <c r="G74" s="15">
        <v>0.290680038765605</v>
      </c>
      <c r="H74" s="15">
        <v>36.972337197389116</v>
      </c>
    </row>
    <row r="75" spans="1:8">
      <c r="A75" s="14">
        <v>10</v>
      </c>
      <c r="B75" s="14" t="s">
        <v>38</v>
      </c>
      <c r="C75" s="14" t="s">
        <v>1</v>
      </c>
      <c r="D75" s="14" t="s">
        <v>28</v>
      </c>
      <c r="E75" s="14" t="s">
        <v>52</v>
      </c>
      <c r="F75" s="15">
        <v>0.46559584312648122</v>
      </c>
      <c r="G75" s="15">
        <v>0.27769521433004651</v>
      </c>
      <c r="H75" s="15">
        <v>40.49482156149034</v>
      </c>
    </row>
    <row r="76" spans="1:8">
      <c r="A76" s="14">
        <v>11</v>
      </c>
      <c r="B76" s="14" t="s">
        <v>38</v>
      </c>
      <c r="C76" s="14" t="s">
        <v>3</v>
      </c>
      <c r="D76" s="14" t="s">
        <v>27</v>
      </c>
      <c r="E76" s="14" t="s">
        <v>52</v>
      </c>
      <c r="F76" s="15">
        <v>0.39230207665618622</v>
      </c>
      <c r="G76" s="15">
        <v>0.22965473428771949</v>
      </c>
      <c r="H76" s="15">
        <v>41.468277025809059</v>
      </c>
    </row>
    <row r="77" spans="1:8">
      <c r="A77" s="14">
        <v>12</v>
      </c>
      <c r="B77" s="14" t="s">
        <v>38</v>
      </c>
      <c r="C77" s="14" t="s">
        <v>7</v>
      </c>
      <c r="D77" s="14" t="s">
        <v>27</v>
      </c>
      <c r="E77" s="14" t="s">
        <v>52</v>
      </c>
      <c r="F77" s="15">
        <v>0.52718075608192616</v>
      </c>
      <c r="G77" s="15">
        <v>0.36886910757709823</v>
      </c>
      <c r="H77" s="15">
        <v>30.229359057518181</v>
      </c>
    </row>
    <row r="78" spans="1:8">
      <c r="A78" s="14">
        <v>13</v>
      </c>
      <c r="B78" s="14" t="s">
        <v>38</v>
      </c>
      <c r="C78" s="14" t="s">
        <v>1</v>
      </c>
      <c r="D78" s="14" t="s">
        <v>26</v>
      </c>
      <c r="E78" s="14" t="s">
        <v>52</v>
      </c>
      <c r="F78" s="15">
        <v>0.44292025324827222</v>
      </c>
      <c r="G78" s="15">
        <v>0.28385758472981026</v>
      </c>
      <c r="H78" s="15">
        <v>35.942527929019128</v>
      </c>
    </row>
    <row r="79" spans="1:8">
      <c r="A79" s="14">
        <v>14</v>
      </c>
      <c r="B79" s="14" t="s">
        <v>38</v>
      </c>
      <c r="C79" s="14" t="s">
        <v>5</v>
      </c>
      <c r="D79" s="14" t="s">
        <v>26</v>
      </c>
      <c r="E79" s="14" t="s">
        <v>52</v>
      </c>
      <c r="F79" s="15">
        <v>0.39100003306777326</v>
      </c>
      <c r="G79" s="15">
        <v>0.25431884201743876</v>
      </c>
      <c r="H79" s="15">
        <v>35.018609710755143</v>
      </c>
    </row>
    <row r="80" spans="1:8">
      <c r="A80" s="14">
        <v>15</v>
      </c>
      <c r="B80" s="14" t="s">
        <v>38</v>
      </c>
      <c r="C80" s="14" t="s">
        <v>7</v>
      </c>
      <c r="D80" s="14" t="s">
        <v>24</v>
      </c>
      <c r="E80" s="14" t="s">
        <v>52</v>
      </c>
      <c r="F80" s="15">
        <v>0.43992698381205253</v>
      </c>
      <c r="G80" s="15">
        <v>0.29516803516376128</v>
      </c>
      <c r="H80" s="15">
        <v>33.058818989977183</v>
      </c>
    </row>
    <row r="81" spans="1:8">
      <c r="A81" s="14">
        <v>16</v>
      </c>
      <c r="B81" s="14" t="s">
        <v>38</v>
      </c>
      <c r="C81" s="14" t="s">
        <v>3</v>
      </c>
      <c r="D81" s="14" t="s">
        <v>24</v>
      </c>
      <c r="E81" s="14" t="s">
        <v>52</v>
      </c>
      <c r="F81" s="15">
        <v>0.46121150148041823</v>
      </c>
      <c r="G81" s="15">
        <v>0.29872218491498997</v>
      </c>
      <c r="H81" s="15">
        <v>35.286291034118449</v>
      </c>
    </row>
    <row r="82" spans="1:8">
      <c r="A82" s="14">
        <v>1</v>
      </c>
      <c r="B82" s="14" t="s">
        <v>29</v>
      </c>
      <c r="C82" s="14" t="s">
        <v>1</v>
      </c>
      <c r="D82" s="14" t="s">
        <v>24</v>
      </c>
      <c r="E82" s="14" t="s">
        <v>52</v>
      </c>
      <c r="F82" s="15">
        <v>0.4971240575684498</v>
      </c>
      <c r="G82" s="15">
        <v>0.33818284952636724</v>
      </c>
      <c r="H82" s="15">
        <v>31.993397563254511</v>
      </c>
    </row>
    <row r="83" spans="1:8">
      <c r="A83" s="14">
        <v>2</v>
      </c>
      <c r="B83" s="14" t="s">
        <v>29</v>
      </c>
      <c r="C83" s="14" t="s">
        <v>5</v>
      </c>
      <c r="D83" s="14" t="s">
        <v>24</v>
      </c>
      <c r="E83" s="14" t="s">
        <v>52</v>
      </c>
      <c r="F83" s="15">
        <v>0.48160668681257157</v>
      </c>
      <c r="G83" s="15">
        <v>0.34348959128231671</v>
      </c>
      <c r="H83" s="15">
        <v>28.689781458135954</v>
      </c>
    </row>
    <row r="84" spans="1:8">
      <c r="A84" s="14">
        <v>3</v>
      </c>
      <c r="B84" s="14" t="s">
        <v>29</v>
      </c>
      <c r="C84" s="14" t="s">
        <v>3</v>
      </c>
      <c r="D84" s="14" t="s">
        <v>26</v>
      </c>
      <c r="E84" s="14" t="s">
        <v>52</v>
      </c>
      <c r="F84" s="15">
        <v>0.42089489026586446</v>
      </c>
      <c r="G84" s="15">
        <v>0.28290434256178532</v>
      </c>
      <c r="H84" s="15">
        <v>33.036271497073329</v>
      </c>
    </row>
    <row r="85" spans="1:8">
      <c r="A85" s="14">
        <v>4</v>
      </c>
      <c r="B85" s="14" t="s">
        <v>29</v>
      </c>
      <c r="C85" s="14" t="s">
        <v>7</v>
      </c>
      <c r="D85" s="14" t="s">
        <v>26</v>
      </c>
      <c r="E85" s="14" t="s">
        <v>52</v>
      </c>
      <c r="F85" s="15">
        <v>0.44417237721681224</v>
      </c>
      <c r="G85" s="15">
        <v>0.31751517302076598</v>
      </c>
      <c r="H85" s="15">
        <v>28.556096788750619</v>
      </c>
    </row>
    <row r="86" spans="1:8">
      <c r="A86" s="14">
        <v>5</v>
      </c>
      <c r="B86" s="14" t="s">
        <v>29</v>
      </c>
      <c r="C86" s="14" t="s">
        <v>5</v>
      </c>
      <c r="D86" s="14" t="s">
        <v>27</v>
      </c>
      <c r="E86" s="14" t="s">
        <v>52</v>
      </c>
      <c r="F86" s="15">
        <v>0.46700535697933448</v>
      </c>
      <c r="G86" s="15">
        <v>0.33359469592910229</v>
      </c>
      <c r="H86" s="15">
        <v>28.681441736080945</v>
      </c>
    </row>
    <row r="87" spans="1:8">
      <c r="A87" s="14">
        <v>6</v>
      </c>
      <c r="B87" s="14" t="s">
        <v>29</v>
      </c>
      <c r="C87" s="14" t="s">
        <v>1</v>
      </c>
      <c r="D87" s="14" t="s">
        <v>27</v>
      </c>
      <c r="E87" s="14" t="s">
        <v>52</v>
      </c>
      <c r="F87" s="15">
        <v>0.45955366136564768</v>
      </c>
      <c r="G87" s="15">
        <v>0.30910482992989602</v>
      </c>
      <c r="H87" s="15">
        <v>32.658846358498657</v>
      </c>
    </row>
    <row r="88" spans="1:8">
      <c r="A88" s="14">
        <v>7</v>
      </c>
      <c r="B88" s="14" t="s">
        <v>29</v>
      </c>
      <c r="C88" s="14" t="s">
        <v>7</v>
      </c>
      <c r="D88" s="14" t="s">
        <v>28</v>
      </c>
      <c r="E88" s="14" t="s">
        <v>52</v>
      </c>
      <c r="F88" s="15">
        <v>0.410785054383769</v>
      </c>
      <c r="G88" s="15">
        <v>0.27298401045959075</v>
      </c>
      <c r="H88" s="15">
        <v>33.682385857248725</v>
      </c>
    </row>
    <row r="89" spans="1:8">
      <c r="A89" s="14">
        <v>8</v>
      </c>
      <c r="B89" s="14" t="s">
        <v>29</v>
      </c>
      <c r="C89" s="14" t="s">
        <v>3</v>
      </c>
      <c r="D89" s="14" t="s">
        <v>28</v>
      </c>
      <c r="E89" s="14" t="s">
        <v>52</v>
      </c>
      <c r="F89" s="15">
        <v>0.49025963289683827</v>
      </c>
      <c r="G89" s="15">
        <v>0.34652769298861402</v>
      </c>
      <c r="H89" s="15">
        <v>29.320629738383889</v>
      </c>
    </row>
    <row r="90" spans="1:8">
      <c r="A90" s="14">
        <v>9</v>
      </c>
      <c r="B90" s="14" t="s">
        <v>29</v>
      </c>
      <c r="C90" s="14" t="s">
        <v>5</v>
      </c>
      <c r="D90" s="14" t="s">
        <v>28</v>
      </c>
      <c r="E90" s="14" t="s">
        <v>52</v>
      </c>
      <c r="F90" s="15">
        <v>0.40044215428914426</v>
      </c>
      <c r="G90" s="15">
        <v>0.25216180570393626</v>
      </c>
      <c r="H90" s="15">
        <v>36.997129504193992</v>
      </c>
    </row>
    <row r="91" spans="1:8">
      <c r="A91" s="14">
        <v>10</v>
      </c>
      <c r="B91" s="14" t="s">
        <v>29</v>
      </c>
      <c r="C91" s="14" t="s">
        <v>1</v>
      </c>
      <c r="D91" s="14" t="s">
        <v>28</v>
      </c>
      <c r="E91" s="14" t="s">
        <v>52</v>
      </c>
      <c r="F91" s="15">
        <v>0.38654637628074001</v>
      </c>
      <c r="G91" s="15">
        <v>0.24685124843563952</v>
      </c>
      <c r="H91" s="15">
        <v>36.165953423515852</v>
      </c>
    </row>
    <row r="92" spans="1:8">
      <c r="A92" s="14">
        <v>11</v>
      </c>
      <c r="B92" s="14" t="s">
        <v>29</v>
      </c>
      <c r="C92" s="14" t="s">
        <v>3</v>
      </c>
      <c r="D92" s="14" t="s">
        <v>27</v>
      </c>
      <c r="E92" s="14" t="s">
        <v>52</v>
      </c>
      <c r="F92" s="15">
        <v>0.36961249656603851</v>
      </c>
      <c r="G92" s="15">
        <v>0.23417961397189724</v>
      </c>
      <c r="H92" s="15">
        <v>36.759784221047475</v>
      </c>
    </row>
    <row r="93" spans="1:8">
      <c r="A93" s="14">
        <v>12</v>
      </c>
      <c r="B93" s="14" t="s">
        <v>29</v>
      </c>
      <c r="C93" s="14" t="s">
        <v>7</v>
      </c>
      <c r="D93" s="14" t="s">
        <v>27</v>
      </c>
      <c r="E93" s="14" t="s">
        <v>52</v>
      </c>
      <c r="F93" s="15">
        <v>0.44042999552313156</v>
      </c>
      <c r="G93" s="15">
        <v>0.28662573893755749</v>
      </c>
      <c r="H93" s="15">
        <v>34.903431981314085</v>
      </c>
    </row>
    <row r="94" spans="1:8">
      <c r="A94" s="14">
        <v>13</v>
      </c>
      <c r="B94" s="14" t="s">
        <v>29</v>
      </c>
      <c r="C94" s="14" t="s">
        <v>1</v>
      </c>
      <c r="D94" s="14" t="s">
        <v>26</v>
      </c>
      <c r="E94" s="14" t="s">
        <v>52</v>
      </c>
      <c r="F94" s="15">
        <v>0.36799789892453377</v>
      </c>
      <c r="G94" s="15">
        <v>0.23199777682813877</v>
      </c>
      <c r="H94" s="15">
        <v>36.852950188279507</v>
      </c>
    </row>
    <row r="95" spans="1:8">
      <c r="A95" s="14">
        <v>14</v>
      </c>
      <c r="B95" s="14" t="s">
        <v>29</v>
      </c>
      <c r="C95" s="14" t="s">
        <v>5</v>
      </c>
      <c r="D95" s="14" t="s">
        <v>26</v>
      </c>
      <c r="E95" s="14" t="s">
        <v>52</v>
      </c>
      <c r="F95" s="15">
        <v>0.42804738611967452</v>
      </c>
      <c r="G95" s="15">
        <v>0.29407679863252001</v>
      </c>
      <c r="H95" s="15">
        <v>31.1033591500914</v>
      </c>
    </row>
    <row r="96" spans="1:8">
      <c r="A96" s="14">
        <v>15</v>
      </c>
      <c r="B96" s="14" t="s">
        <v>29</v>
      </c>
      <c r="C96" s="14" t="s">
        <v>7</v>
      </c>
      <c r="D96" s="14" t="s">
        <v>24</v>
      </c>
      <c r="E96" s="14" t="s">
        <v>52</v>
      </c>
      <c r="F96" s="15">
        <v>0.43939758147390651</v>
      </c>
      <c r="G96" s="15">
        <v>0.30215678194601275</v>
      </c>
      <c r="H96" s="15">
        <v>31.071495192295721</v>
      </c>
    </row>
    <row r="97" spans="1:8">
      <c r="A97" s="14">
        <v>16</v>
      </c>
      <c r="B97" s="14" t="s">
        <v>29</v>
      </c>
      <c r="C97" s="14" t="s">
        <v>3</v>
      </c>
      <c r="D97" s="14" t="s">
        <v>24</v>
      </c>
      <c r="E97" s="14" t="s">
        <v>52</v>
      </c>
      <c r="F97" s="15">
        <v>0.47424020430796721</v>
      </c>
      <c r="G97" s="15">
        <v>0.2981336421354655</v>
      </c>
      <c r="H97" s="15">
        <v>37.159955872999859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B4E5-4657-4F30-B2E5-D822D566C90A}">
  <dimension ref="A1:AB66"/>
  <sheetViews>
    <sheetView tabSelected="1" topLeftCell="G47" workbookViewId="0">
      <selection activeCell="M3" sqref="M3:M66"/>
    </sheetView>
  </sheetViews>
  <sheetFormatPr defaultRowHeight="15"/>
  <cols>
    <col min="13" max="13" width="9.28515625" bestFit="1" customWidth="1"/>
  </cols>
  <sheetData>
    <row r="1" spans="1:28">
      <c r="H1" s="1" t="s">
        <v>53</v>
      </c>
      <c r="I1" s="1"/>
      <c r="J1" s="1"/>
      <c r="K1" s="1"/>
      <c r="L1" s="1"/>
      <c r="M1" s="1"/>
      <c r="N1" s="1"/>
      <c r="O1" s="1"/>
      <c r="P1" s="1"/>
      <c r="Q1" s="1" t="s">
        <v>54</v>
      </c>
    </row>
    <row r="2" spans="1:28" ht="24">
      <c r="A2" s="5" t="s">
        <v>9</v>
      </c>
      <c r="B2" s="5" t="s">
        <v>10</v>
      </c>
      <c r="C2" s="5" t="s">
        <v>11</v>
      </c>
      <c r="D2" s="11" t="s">
        <v>12</v>
      </c>
      <c r="E2" s="11" t="s">
        <v>13</v>
      </c>
      <c r="F2" s="5" t="s">
        <v>14</v>
      </c>
      <c r="G2" s="5"/>
      <c r="I2" s="1" t="s">
        <v>55</v>
      </c>
      <c r="J2" s="1" t="s">
        <v>56</v>
      </c>
      <c r="K2" s="1" t="s">
        <v>57</v>
      </c>
      <c r="L2" s="1" t="s">
        <v>58</v>
      </c>
      <c r="M2" s="1" t="s">
        <v>59</v>
      </c>
      <c r="N2" s="1" t="s">
        <v>60</v>
      </c>
      <c r="O2" s="1" t="s">
        <v>61</v>
      </c>
      <c r="P2" s="1"/>
      <c r="Q2" s="1"/>
      <c r="R2" s="1" t="s">
        <v>62</v>
      </c>
      <c r="S2" s="1" t="s">
        <v>63</v>
      </c>
      <c r="T2" s="1" t="s">
        <v>64</v>
      </c>
      <c r="U2" s="1" t="s">
        <v>65</v>
      </c>
      <c r="V2" s="1" t="s">
        <v>66</v>
      </c>
      <c r="W2" s="1" t="s">
        <v>67</v>
      </c>
      <c r="X2" s="1" t="s">
        <v>68</v>
      </c>
      <c r="Y2" s="1" t="s">
        <v>69</v>
      </c>
      <c r="Z2" s="1" t="s">
        <v>70</v>
      </c>
      <c r="AA2" s="1" t="s">
        <v>71</v>
      </c>
      <c r="AB2" s="1" t="s">
        <v>72</v>
      </c>
    </row>
    <row r="3" spans="1:28">
      <c r="A3" s="7">
        <v>1</v>
      </c>
      <c r="B3" s="8">
        <v>1</v>
      </c>
      <c r="C3" s="9" t="s">
        <v>23</v>
      </c>
      <c r="D3" s="12" t="s">
        <v>1</v>
      </c>
      <c r="E3" s="12" t="s">
        <v>24</v>
      </c>
      <c r="F3" t="s">
        <v>25</v>
      </c>
      <c r="H3" t="s">
        <v>73</v>
      </c>
      <c r="I3">
        <v>0.25855047217934951</v>
      </c>
      <c r="J3">
        <v>0.15257213440198805</v>
      </c>
      <c r="K3">
        <v>0.86011379987731718</v>
      </c>
      <c r="L3">
        <v>5.8653854733377315</v>
      </c>
      <c r="M3">
        <v>0.68320456894376247</v>
      </c>
      <c r="N3">
        <v>1.5400419286195507E-4</v>
      </c>
      <c r="O3">
        <v>31.058968564907957</v>
      </c>
      <c r="Q3" t="s">
        <v>73</v>
      </c>
      <c r="R3">
        <v>4.22993510740978</v>
      </c>
      <c r="S3">
        <v>13.174304187516878</v>
      </c>
      <c r="T3">
        <v>1.5497051599566012</v>
      </c>
      <c r="U3">
        <v>0.23947912807500693</v>
      </c>
      <c r="V3">
        <v>3.5766700346429818</v>
      </c>
      <c r="W3">
        <v>0.11772236425670615</v>
      </c>
      <c r="X3">
        <v>4.8340026230148173E-2</v>
      </c>
      <c r="Y3">
        <v>3.970156304510776E-2</v>
      </c>
      <c r="Z3">
        <v>0.44422703341999992</v>
      </c>
      <c r="AA3">
        <v>8.8446800603518625</v>
      </c>
      <c r="AB3">
        <v>3.9672770092705922E-2</v>
      </c>
    </row>
    <row r="4" spans="1:28">
      <c r="A4" s="7">
        <v>2</v>
      </c>
      <c r="B4" s="8">
        <v>2</v>
      </c>
      <c r="C4" s="9" t="s">
        <v>23</v>
      </c>
      <c r="D4" s="12" t="s">
        <v>5</v>
      </c>
      <c r="E4" s="12" t="s">
        <v>24</v>
      </c>
      <c r="F4" t="s">
        <v>25</v>
      </c>
      <c r="H4" t="s">
        <v>74</v>
      </c>
      <c r="I4">
        <v>0.16896023146696473</v>
      </c>
      <c r="J4">
        <v>0.10004712018798101</v>
      </c>
      <c r="K4">
        <v>0.26027181460644327</v>
      </c>
      <c r="L4">
        <v>11.759220576695798</v>
      </c>
      <c r="M4">
        <v>0.42279234369171415</v>
      </c>
      <c r="N4">
        <v>2.5644412267569378E-2</v>
      </c>
      <c r="O4">
        <v>1.4478008882332514</v>
      </c>
      <c r="Q4" t="s">
        <v>74</v>
      </c>
      <c r="R4">
        <v>4.2735736616613469</v>
      </c>
      <c r="S4">
        <v>13.746224924402089</v>
      </c>
      <c r="T4">
        <v>1.6936186766139056</v>
      </c>
      <c r="U4">
        <v>0.13397075428861313</v>
      </c>
      <c r="V4">
        <v>3.901799606873924</v>
      </c>
      <c r="W4">
        <v>0.13760287098181712</v>
      </c>
      <c r="X4">
        <v>5.2583600960984904E-2</v>
      </c>
      <c r="Y4">
        <v>1.7749691817430226E-2</v>
      </c>
      <c r="Z4">
        <v>0.3261057567423683</v>
      </c>
      <c r="AA4">
        <v>8.4664630765304771</v>
      </c>
      <c r="AB4">
        <v>3.0934014951902591E-2</v>
      </c>
    </row>
    <row r="5" spans="1:28">
      <c r="A5" s="7">
        <v>3</v>
      </c>
      <c r="B5" s="8">
        <v>3</v>
      </c>
      <c r="C5" s="9" t="s">
        <v>23</v>
      </c>
      <c r="D5" s="12" t="s">
        <v>3</v>
      </c>
      <c r="E5" s="12" t="s">
        <v>26</v>
      </c>
      <c r="F5" t="s">
        <v>25</v>
      </c>
      <c r="H5" t="s">
        <v>75</v>
      </c>
      <c r="I5">
        <v>0.39804454431268982</v>
      </c>
      <c r="J5">
        <v>9.7605652559704797E-2</v>
      </c>
      <c r="K5">
        <v>0.36316681885856067</v>
      </c>
      <c r="L5">
        <v>6.319209850603527</v>
      </c>
      <c r="M5">
        <v>0.23016716515084504</v>
      </c>
      <c r="N5">
        <v>7.3266829119041518E-2</v>
      </c>
      <c r="O5">
        <v>1.2713781651240121</v>
      </c>
      <c r="Q5" t="s">
        <v>75</v>
      </c>
      <c r="R5">
        <v>5.4850933649135172</v>
      </c>
      <c r="S5">
        <v>14.560306643737079</v>
      </c>
      <c r="T5">
        <v>1.6598665465331055</v>
      </c>
      <c r="U5">
        <v>0.13870588100446052</v>
      </c>
      <c r="V5">
        <v>3.6056270168137425</v>
      </c>
      <c r="W5">
        <v>0.14729835679221859</v>
      </c>
      <c r="X5">
        <v>5.2736488047756158E-2</v>
      </c>
      <c r="Y5">
        <v>1.1997059924268338E-2</v>
      </c>
      <c r="Z5">
        <v>0.29537171521144173</v>
      </c>
      <c r="AA5">
        <v>8.6101653465957249</v>
      </c>
      <c r="AB5">
        <v>2.7221691095715102E-2</v>
      </c>
    </row>
    <row r="6" spans="1:28">
      <c r="A6" s="7">
        <v>4</v>
      </c>
      <c r="B6" s="8">
        <v>4</v>
      </c>
      <c r="C6" s="9" t="s">
        <v>23</v>
      </c>
      <c r="D6" s="12" t="s">
        <v>7</v>
      </c>
      <c r="E6" s="12" t="s">
        <v>26</v>
      </c>
      <c r="F6" t="s">
        <v>25</v>
      </c>
      <c r="H6" t="s">
        <v>76</v>
      </c>
      <c r="I6">
        <v>0.65849095607752672</v>
      </c>
      <c r="J6">
        <v>0.10885275155986252</v>
      </c>
      <c r="K6">
        <v>0.71689328442394396</v>
      </c>
      <c r="L6">
        <v>6.5710236802462854</v>
      </c>
      <c r="M6">
        <v>0.60241439181074308</v>
      </c>
      <c r="N6">
        <v>3.0461986478430875E-2</v>
      </c>
      <c r="O6">
        <v>1.4753699115327052</v>
      </c>
      <c r="Q6" t="s">
        <v>76</v>
      </c>
      <c r="R6">
        <v>4.3040994793721765</v>
      </c>
      <c r="S6">
        <v>13.516496221651403</v>
      </c>
      <c r="T6">
        <v>1.7508445088063804</v>
      </c>
      <c r="U6">
        <v>0.15334081057945481</v>
      </c>
      <c r="V6">
        <v>3.8863552458436947</v>
      </c>
      <c r="W6">
        <v>0.17779085036276107</v>
      </c>
      <c r="X6">
        <v>5.7352177845073758E-2</v>
      </c>
      <c r="Y6">
        <v>1.1007464128610431E-2</v>
      </c>
      <c r="Z6">
        <v>0.38907037801348449</v>
      </c>
      <c r="AA6">
        <v>8.9748054065858902</v>
      </c>
      <c r="AB6">
        <v>2.7405802016011491E-2</v>
      </c>
    </row>
    <row r="7" spans="1:28">
      <c r="A7" s="7">
        <v>5</v>
      </c>
      <c r="B7" s="8">
        <v>5</v>
      </c>
      <c r="C7" s="9" t="s">
        <v>23</v>
      </c>
      <c r="D7" s="12" t="s">
        <v>5</v>
      </c>
      <c r="E7" s="12" t="s">
        <v>27</v>
      </c>
      <c r="F7" t="s">
        <v>25</v>
      </c>
      <c r="H7" t="s">
        <v>77</v>
      </c>
      <c r="I7">
        <v>-0.18028924891663983</v>
      </c>
      <c r="J7">
        <v>8.7529091666907505E-2</v>
      </c>
      <c r="K7">
        <v>0.72264037736354425</v>
      </c>
      <c r="L7">
        <v>5.8000241080563608</v>
      </c>
      <c r="M7">
        <v>0.41889633797254555</v>
      </c>
      <c r="N7">
        <v>3.409703105482606E-2</v>
      </c>
      <c r="O7">
        <v>1.2931000502566592</v>
      </c>
      <c r="Q7" t="s">
        <v>77</v>
      </c>
      <c r="R7">
        <v>3.6669992354678751</v>
      </c>
      <c r="S7">
        <v>13.810604927349948</v>
      </c>
      <c r="T7">
        <v>1.660315780744033</v>
      </c>
      <c r="U7">
        <v>0.14633566709918877</v>
      </c>
      <c r="V7">
        <v>4.0276016662155349</v>
      </c>
      <c r="W7">
        <v>0.16005972046008418</v>
      </c>
      <c r="X7">
        <v>5.464666890322413E-2</v>
      </c>
      <c r="Y7">
        <v>8.8545966045411473E-3</v>
      </c>
      <c r="Z7">
        <v>0.2785288237246879</v>
      </c>
      <c r="AA7">
        <v>8.511787870198237</v>
      </c>
      <c r="AB7">
        <v>3.189398324349367E-2</v>
      </c>
    </row>
    <row r="8" spans="1:28">
      <c r="A8" s="7">
        <v>6</v>
      </c>
      <c r="B8" s="8">
        <v>6</v>
      </c>
      <c r="C8" s="9" t="s">
        <v>23</v>
      </c>
      <c r="D8" s="12" t="s">
        <v>1</v>
      </c>
      <c r="E8" s="12" t="s">
        <v>27</v>
      </c>
      <c r="F8" t="s">
        <v>25</v>
      </c>
      <c r="H8" t="s">
        <v>78</v>
      </c>
      <c r="I8">
        <v>-2.8645773040104936E-2</v>
      </c>
      <c r="J8">
        <v>8.8255320221075517E-2</v>
      </c>
      <c r="K8">
        <v>0.1516606064211159</v>
      </c>
      <c r="L8">
        <v>5.51593899637726</v>
      </c>
      <c r="M8">
        <v>0.28351430061188521</v>
      </c>
      <c r="N8">
        <v>2.4343083184375881E-2</v>
      </c>
      <c r="O8">
        <v>0.88527465811462447</v>
      </c>
      <c r="Q8" t="s">
        <v>78</v>
      </c>
      <c r="R8">
        <v>4.6952624252647475</v>
      </c>
      <c r="S8">
        <v>14.038199948733457</v>
      </c>
      <c r="T8">
        <v>1.7717179329679207</v>
      </c>
      <c r="U8">
        <v>0.40845392675336656</v>
      </c>
      <c r="V8">
        <v>3.8759172078960025</v>
      </c>
      <c r="W8">
        <v>0.12169159662039501</v>
      </c>
      <c r="X8">
        <v>4.6672872241434391E-2</v>
      </c>
      <c r="Y8">
        <v>4.5717829292964723E-2</v>
      </c>
      <c r="Z8">
        <v>0.28554743629797241</v>
      </c>
      <c r="AA8">
        <v>8.9684141352928233</v>
      </c>
      <c r="AB8">
        <v>2.4965151693432729E-2</v>
      </c>
    </row>
    <row r="9" spans="1:28">
      <c r="A9" s="7">
        <v>7</v>
      </c>
      <c r="B9" s="8">
        <v>7</v>
      </c>
      <c r="C9" s="9" t="s">
        <v>23</v>
      </c>
      <c r="D9" s="12" t="s">
        <v>7</v>
      </c>
      <c r="E9" s="12" t="s">
        <v>28</v>
      </c>
      <c r="F9" t="s">
        <v>25</v>
      </c>
      <c r="H9" t="s">
        <v>79</v>
      </c>
      <c r="I9">
        <v>0.39574397895806984</v>
      </c>
      <c r="J9">
        <v>0.12071765880710007</v>
      </c>
      <c r="K9">
        <v>0.30435408483724019</v>
      </c>
      <c r="L9">
        <v>5.8120024387737335</v>
      </c>
      <c r="M9">
        <v>0.41630217340850628</v>
      </c>
      <c r="N9">
        <v>1.2868003366762799</v>
      </c>
      <c r="O9">
        <v>3.4795895070827059</v>
      </c>
      <c r="Q9" t="s">
        <v>79</v>
      </c>
      <c r="R9">
        <v>4.2699612553597355</v>
      </c>
      <c r="S9">
        <v>14.251526718968393</v>
      </c>
      <c r="T9">
        <v>1.8348376200154324</v>
      </c>
      <c r="U9">
        <v>0.29151998240785465</v>
      </c>
      <c r="V9">
        <v>4.226124114661836</v>
      </c>
      <c r="W9">
        <v>0.1804573228554387</v>
      </c>
      <c r="X9">
        <v>5.8455969299301504E-2</v>
      </c>
      <c r="Y9">
        <v>7.8484736897289874E-3</v>
      </c>
      <c r="Z9">
        <v>0.31393957431249736</v>
      </c>
      <c r="AA9">
        <v>9.1964837962204342</v>
      </c>
      <c r="AB9">
        <v>2.8453710367641209E-2</v>
      </c>
    </row>
    <row r="10" spans="1:28">
      <c r="A10" s="7">
        <v>8</v>
      </c>
      <c r="B10" s="8">
        <v>8</v>
      </c>
      <c r="C10" s="9" t="s">
        <v>23</v>
      </c>
      <c r="D10" s="12" t="s">
        <v>3</v>
      </c>
      <c r="E10" s="12" t="s">
        <v>28</v>
      </c>
      <c r="F10" t="s">
        <v>25</v>
      </c>
      <c r="H10" t="s">
        <v>80</v>
      </c>
      <c r="I10">
        <v>1.4586914208696196</v>
      </c>
      <c r="J10">
        <v>8.7790589810671518E-2</v>
      </c>
      <c r="K10">
        <v>0.28794528841342604</v>
      </c>
      <c r="L10">
        <v>5.4296235619010549</v>
      </c>
      <c r="M10">
        <v>0.32089435988259934</v>
      </c>
      <c r="N10">
        <v>-7.7398296639261317E-4</v>
      </c>
      <c r="O10">
        <v>0.5955902179841055</v>
      </c>
      <c r="Q10" t="s">
        <v>80</v>
      </c>
      <c r="R10">
        <v>4.7456271793645932</v>
      </c>
      <c r="S10">
        <v>14.919577417143429</v>
      </c>
      <c r="T10">
        <v>1.7923195992900305</v>
      </c>
      <c r="U10">
        <v>6.3744902060356295E-2</v>
      </c>
      <c r="V10">
        <v>4.3516810025274051</v>
      </c>
      <c r="W10">
        <v>0.18238326958887491</v>
      </c>
      <c r="X10">
        <v>5.5859911049755955E-2</v>
      </c>
      <c r="Y10">
        <v>1.6782454779519645E-2</v>
      </c>
      <c r="Z10">
        <v>0.2284039252866526</v>
      </c>
      <c r="AA10">
        <v>9.7102232786097069</v>
      </c>
      <c r="AB10">
        <v>2.6458992485452762E-2</v>
      </c>
    </row>
    <row r="11" spans="1:28">
      <c r="A11" s="7">
        <v>9</v>
      </c>
      <c r="B11" s="8">
        <v>9</v>
      </c>
      <c r="C11" s="9" t="s">
        <v>23</v>
      </c>
      <c r="D11" s="12" t="s">
        <v>5</v>
      </c>
      <c r="E11" s="12" t="s">
        <v>28</v>
      </c>
      <c r="F11" t="s">
        <v>25</v>
      </c>
      <c r="H11" t="s">
        <v>81</v>
      </c>
      <c r="I11">
        <v>-6.3612912498603028E-2</v>
      </c>
      <c r="J11">
        <v>0.10751869046674885</v>
      </c>
      <c r="K11">
        <v>0.20142412078895211</v>
      </c>
      <c r="L11">
        <v>5.9319744557841387</v>
      </c>
      <c r="M11">
        <v>0.18611135436854123</v>
      </c>
      <c r="N11">
        <v>8.9347903959422943E-3</v>
      </c>
      <c r="O11">
        <v>3.0388471625661491</v>
      </c>
      <c r="Q11" t="s">
        <v>81</v>
      </c>
      <c r="R11">
        <v>4.9293517862861869</v>
      </c>
      <c r="S11">
        <v>14.336541513063549</v>
      </c>
      <c r="T11">
        <v>1.600256755057631</v>
      </c>
      <c r="U11">
        <v>0.10158201214847051</v>
      </c>
      <c r="V11">
        <v>3.5533358854683685</v>
      </c>
      <c r="W11">
        <v>0.17736566468291742</v>
      </c>
      <c r="X11">
        <v>4.6446729925738825E-2</v>
      </c>
      <c r="Y11">
        <v>2.6527569006582808E-2</v>
      </c>
      <c r="Z11">
        <v>0.31119732286561846</v>
      </c>
      <c r="AA11">
        <v>8.4796190058696599</v>
      </c>
      <c r="AB11">
        <v>2.4905655424604125E-2</v>
      </c>
    </row>
    <row r="12" spans="1:28">
      <c r="A12" s="7">
        <v>10</v>
      </c>
      <c r="B12" s="8">
        <v>10</v>
      </c>
      <c r="C12" s="9" t="s">
        <v>23</v>
      </c>
      <c r="D12" s="12" t="s">
        <v>1</v>
      </c>
      <c r="E12" s="12" t="s">
        <v>28</v>
      </c>
      <c r="F12" t="s">
        <v>25</v>
      </c>
      <c r="H12" t="s">
        <v>82</v>
      </c>
      <c r="I12">
        <v>0.80526608006208689</v>
      </c>
      <c r="J12">
        <v>0.10928032772733982</v>
      </c>
      <c r="K12">
        <v>1.0716892037155017</v>
      </c>
      <c r="L12">
        <v>5.9264187340551873</v>
      </c>
      <c r="M12">
        <v>0.28304237650107561</v>
      </c>
      <c r="N12">
        <v>1.0481310246879314E-2</v>
      </c>
      <c r="O12">
        <v>1.2360640519029635</v>
      </c>
      <c r="Q12" t="s">
        <v>82</v>
      </c>
      <c r="R12">
        <v>4.1310313216760859</v>
      </c>
      <c r="S12">
        <v>13.593355298479187</v>
      </c>
      <c r="T12">
        <v>1.755978747392148</v>
      </c>
      <c r="U12">
        <v>0.31719214563821785</v>
      </c>
      <c r="V12">
        <v>3.6338353616605299</v>
      </c>
      <c r="W12">
        <v>0.12044674594793132</v>
      </c>
      <c r="X12">
        <v>5.1658000202771094E-2</v>
      </c>
      <c r="Y12">
        <v>1.575284207486367E-2</v>
      </c>
      <c r="Z12">
        <v>0.29011405765910275</v>
      </c>
      <c r="AA12">
        <v>8.7798710419415755</v>
      </c>
      <c r="AB12">
        <v>2.812289922716393E-2</v>
      </c>
    </row>
    <row r="13" spans="1:28">
      <c r="A13" s="7">
        <v>11</v>
      </c>
      <c r="B13" s="8">
        <v>11</v>
      </c>
      <c r="C13" s="9" t="s">
        <v>23</v>
      </c>
      <c r="D13" s="12" t="s">
        <v>3</v>
      </c>
      <c r="E13" s="12" t="s">
        <v>27</v>
      </c>
      <c r="F13" t="s">
        <v>25</v>
      </c>
      <c r="H13" t="s">
        <v>83</v>
      </c>
      <c r="I13">
        <v>0.46783868286984098</v>
      </c>
      <c r="J13">
        <v>0.11707457727404437</v>
      </c>
      <c r="K13">
        <v>0.95016711851794178</v>
      </c>
      <c r="L13">
        <v>5.7406117615401406</v>
      </c>
      <c r="M13">
        <v>0.16157972721431199</v>
      </c>
      <c r="N13">
        <v>7.1844866514195315E-3</v>
      </c>
      <c r="O13">
        <v>1.0577412260431247</v>
      </c>
      <c r="Q13" t="s">
        <v>83</v>
      </c>
      <c r="R13">
        <v>4.2850536896392351</v>
      </c>
      <c r="S13">
        <v>14.267017071840618</v>
      </c>
      <c r="T13">
        <v>1.6535244906812414</v>
      </c>
      <c r="U13">
        <v>0.14453166580156307</v>
      </c>
      <c r="V13">
        <v>3.7596607673121913</v>
      </c>
      <c r="W13">
        <v>0.1634348389194353</v>
      </c>
      <c r="X13">
        <v>4.7625697148315382E-2</v>
      </c>
      <c r="Y13">
        <v>1.623816240741684E-2</v>
      </c>
      <c r="Z13">
        <v>0.28674639270936009</v>
      </c>
      <c r="AA13">
        <v>8.4297404559139935</v>
      </c>
      <c r="AB13">
        <v>2.9032227783093219E-2</v>
      </c>
    </row>
    <row r="14" spans="1:28">
      <c r="A14" s="7">
        <v>12</v>
      </c>
      <c r="B14" s="8">
        <v>12</v>
      </c>
      <c r="C14" s="9" t="s">
        <v>23</v>
      </c>
      <c r="D14" s="12" t="s">
        <v>7</v>
      </c>
      <c r="E14" s="12" t="s">
        <v>27</v>
      </c>
      <c r="F14" t="s">
        <v>25</v>
      </c>
      <c r="H14" t="s">
        <v>84</v>
      </c>
      <c r="I14">
        <v>0.39546830150678863</v>
      </c>
      <c r="J14">
        <v>0.11485497114874826</v>
      </c>
      <c r="K14">
        <v>0.26083386247806595</v>
      </c>
      <c r="L14">
        <v>5.6634528250532643</v>
      </c>
      <c r="M14">
        <v>0.43394227205801239</v>
      </c>
      <c r="N14">
        <v>1.5115525215923084E-3</v>
      </c>
      <c r="O14">
        <v>1.2151715598707074</v>
      </c>
      <c r="Q14" t="s">
        <v>84</v>
      </c>
      <c r="R14">
        <v>4.5319597300618657</v>
      </c>
      <c r="S14">
        <v>14.693439224249392</v>
      </c>
      <c r="T14">
        <v>1.7148575379846613</v>
      </c>
      <c r="U14">
        <v>7.6476909283729064E-2</v>
      </c>
      <c r="V14">
        <v>3.7844322681782727</v>
      </c>
      <c r="W14">
        <v>0.18908428287426693</v>
      </c>
      <c r="X14">
        <v>5.2797586706099943E-2</v>
      </c>
      <c r="Y14">
        <v>1.9706375123480255E-2</v>
      </c>
      <c r="Z14">
        <v>0.35091379860545546</v>
      </c>
      <c r="AA14">
        <v>9.179219818748674</v>
      </c>
      <c r="AB14">
        <v>2.582789275630868E-2</v>
      </c>
    </row>
    <row r="15" spans="1:28">
      <c r="A15" s="7">
        <v>13</v>
      </c>
      <c r="B15" s="8">
        <v>13</v>
      </c>
      <c r="C15" s="9" t="s">
        <v>23</v>
      </c>
      <c r="D15" s="12" t="s">
        <v>1</v>
      </c>
      <c r="E15" s="12" t="s">
        <v>26</v>
      </c>
      <c r="F15" t="s">
        <v>25</v>
      </c>
      <c r="H15" t="s">
        <v>85</v>
      </c>
      <c r="I15">
        <v>0.68560070995583244</v>
      </c>
      <c r="J15">
        <v>0.17749074146967875</v>
      </c>
      <c r="K15">
        <v>0.51512392135613305</v>
      </c>
      <c r="L15">
        <v>6.9096372798380976</v>
      </c>
      <c r="M15">
        <v>0.21507261068277472</v>
      </c>
      <c r="N15">
        <v>3.4608376403943426E-3</v>
      </c>
      <c r="O15">
        <v>1.4576145831238785</v>
      </c>
      <c r="Q15" t="s">
        <v>85</v>
      </c>
      <c r="R15">
        <v>4.3638104949419887</v>
      </c>
      <c r="S15">
        <v>14.621326982756868</v>
      </c>
      <c r="T15">
        <v>1.7149764092204782</v>
      </c>
      <c r="U15">
        <v>6.0115933058019065E-2</v>
      </c>
      <c r="V15">
        <v>3.7301520468840708</v>
      </c>
      <c r="W15">
        <v>0.1759156453080537</v>
      </c>
      <c r="X15">
        <v>4.5732108541059406E-2</v>
      </c>
      <c r="Y15">
        <v>8.4487787011225834E-2</v>
      </c>
      <c r="Z15">
        <v>0.51110796521434754</v>
      </c>
      <c r="AA15">
        <v>8.9567596206376638</v>
      </c>
      <c r="AB15">
        <v>3.0111807630907025E-2</v>
      </c>
    </row>
    <row r="16" spans="1:28">
      <c r="A16" s="7">
        <v>14</v>
      </c>
      <c r="B16" s="8">
        <v>14</v>
      </c>
      <c r="C16" s="9" t="s">
        <v>23</v>
      </c>
      <c r="D16" s="12" t="s">
        <v>5</v>
      </c>
      <c r="E16" s="12" t="s">
        <v>26</v>
      </c>
      <c r="F16" t="s">
        <v>25</v>
      </c>
      <c r="H16" t="s">
        <v>86</v>
      </c>
      <c r="I16">
        <v>0.22606155308675385</v>
      </c>
      <c r="J16">
        <v>0.1352481398772496</v>
      </c>
      <c r="K16">
        <v>0.32493762159103723</v>
      </c>
      <c r="L16">
        <v>6.9529891209595167</v>
      </c>
      <c r="M16">
        <v>0.22677332089024671</v>
      </c>
      <c r="N16">
        <v>7.5518968740929983E-3</v>
      </c>
      <c r="O16">
        <v>0.80530692838061868</v>
      </c>
      <c r="Q16" t="s">
        <v>86</v>
      </c>
      <c r="R16">
        <v>4.0524898313712603</v>
      </c>
      <c r="S16">
        <v>14.804648627695762</v>
      </c>
      <c r="T16">
        <v>1.7451489983670996</v>
      </c>
      <c r="U16">
        <v>0.1255390953591006</v>
      </c>
      <c r="V16">
        <v>3.2600655746457616</v>
      </c>
      <c r="W16">
        <v>9.9786227082762483E-2</v>
      </c>
      <c r="X16">
        <v>4.4450160468134547E-2</v>
      </c>
      <c r="Y16">
        <v>2.9846623934755605E-2</v>
      </c>
      <c r="Z16">
        <v>0.29750046001452546</v>
      </c>
      <c r="AA16">
        <v>8.1104190877580677</v>
      </c>
      <c r="AB16">
        <v>3.4320404873537359E-2</v>
      </c>
    </row>
    <row r="17" spans="1:28">
      <c r="A17" s="7">
        <v>15</v>
      </c>
      <c r="B17" s="8">
        <v>15</v>
      </c>
      <c r="C17" s="9" t="s">
        <v>23</v>
      </c>
      <c r="D17" s="12" t="s">
        <v>7</v>
      </c>
      <c r="E17" s="12" t="s">
        <v>24</v>
      </c>
      <c r="F17" t="s">
        <v>25</v>
      </c>
      <c r="H17" t="s">
        <v>87</v>
      </c>
      <c r="I17">
        <v>0.5937559582994999</v>
      </c>
      <c r="J17">
        <v>0.13274755320758169</v>
      </c>
      <c r="K17">
        <v>0.39138614308568059</v>
      </c>
      <c r="L17">
        <v>6.6732607737621867</v>
      </c>
      <c r="M17">
        <v>0.27174143469597895</v>
      </c>
      <c r="N17">
        <v>9.3936366748634823E-4</v>
      </c>
      <c r="O17">
        <v>1.3432772105096555</v>
      </c>
      <c r="Q17" t="s">
        <v>87</v>
      </c>
      <c r="R17">
        <v>4.7224712706918206</v>
      </c>
      <c r="S17">
        <v>14.356095090970456</v>
      </c>
      <c r="T17">
        <v>1.7485543764993809</v>
      </c>
      <c r="U17">
        <v>7.2758173529073558E-2</v>
      </c>
      <c r="V17">
        <v>3.8344699827944839</v>
      </c>
      <c r="W17">
        <v>0.22256913535275027</v>
      </c>
      <c r="X17">
        <v>5.8839825087984854E-2</v>
      </c>
      <c r="Y17">
        <v>7.0288186408430708E-2</v>
      </c>
      <c r="Z17">
        <v>0.43679949434792203</v>
      </c>
      <c r="AA17">
        <v>9.0718671065128262</v>
      </c>
      <c r="AB17">
        <v>3.334834509271125E-2</v>
      </c>
    </row>
    <row r="18" spans="1:28">
      <c r="A18" s="7">
        <v>16</v>
      </c>
      <c r="B18" s="8">
        <v>16</v>
      </c>
      <c r="C18" s="9" t="s">
        <v>23</v>
      </c>
      <c r="D18" s="12" t="s">
        <v>3</v>
      </c>
      <c r="E18" s="12" t="s">
        <v>24</v>
      </c>
      <c r="F18" t="s">
        <v>25</v>
      </c>
      <c r="H18" t="s">
        <v>88</v>
      </c>
      <c r="I18">
        <v>3.8403515348738072E-2</v>
      </c>
      <c r="J18">
        <v>8.808822421562916E-2</v>
      </c>
      <c r="K18">
        <v>7.0994014112306505E-2</v>
      </c>
      <c r="L18">
        <v>7.0421105061185054</v>
      </c>
      <c r="M18">
        <v>0.16212783321885171</v>
      </c>
      <c r="N18">
        <v>4.4239722022371055E-3</v>
      </c>
      <c r="O18">
        <v>0.7724778719612635</v>
      </c>
      <c r="Q18" t="s">
        <v>88</v>
      </c>
      <c r="R18">
        <v>5.4959181469161233</v>
      </c>
      <c r="S18">
        <v>15.095193750724183</v>
      </c>
      <c r="T18">
        <v>1.7855025145566816</v>
      </c>
      <c r="U18">
        <v>2.9395002344252956E-2</v>
      </c>
      <c r="V18">
        <v>4.1367385339949578</v>
      </c>
      <c r="W18">
        <v>0.18292008820006234</v>
      </c>
      <c r="X18">
        <v>5.0470505716623398E-2</v>
      </c>
      <c r="Y18">
        <v>1.2059052910887809E-2</v>
      </c>
      <c r="Z18">
        <v>0.26099946410756214</v>
      </c>
      <c r="AA18">
        <v>8.5661004084598282</v>
      </c>
      <c r="AB18">
        <v>3.1347542730532953E-2</v>
      </c>
    </row>
    <row r="19" spans="1:28">
      <c r="A19" s="7">
        <v>17</v>
      </c>
      <c r="B19" s="8">
        <v>1</v>
      </c>
      <c r="C19" s="9" t="s">
        <v>29</v>
      </c>
      <c r="D19" s="12" t="s">
        <v>1</v>
      </c>
      <c r="E19" s="12" t="s">
        <v>24</v>
      </c>
      <c r="F19" t="s">
        <v>25</v>
      </c>
      <c r="H19" t="s">
        <v>89</v>
      </c>
      <c r="I19">
        <v>1.028824068044065</v>
      </c>
      <c r="J19">
        <v>0.13690564006615655</v>
      </c>
      <c r="K19">
        <v>0.58097792662069359</v>
      </c>
      <c r="L19">
        <v>6.0105166268127421</v>
      </c>
      <c r="M19">
        <v>0.51756080036728347</v>
      </c>
      <c r="N19">
        <v>0.65594474203484576</v>
      </c>
      <c r="O19">
        <v>9.3948103318829368</v>
      </c>
      <c r="Q19" t="s">
        <v>89</v>
      </c>
      <c r="R19">
        <v>3.47239772688651</v>
      </c>
      <c r="S19">
        <v>13.040846222315119</v>
      </c>
      <c r="T19">
        <v>1.4768276035840098</v>
      </c>
      <c r="U19">
        <v>6.5455981560587698E-2</v>
      </c>
      <c r="V19">
        <v>3.4056078114367665</v>
      </c>
      <c r="W19">
        <v>5.9017002539367848E-2</v>
      </c>
      <c r="X19">
        <v>6.2099395659654041E-2</v>
      </c>
      <c r="Y19">
        <v>1.1335268781858306E-2</v>
      </c>
      <c r="Z19">
        <v>0.4118364123597657</v>
      </c>
      <c r="AA19">
        <v>9.2281628989581108</v>
      </c>
      <c r="AB19">
        <v>2.3900299233170826E-2</v>
      </c>
    </row>
    <row r="20" spans="1:28">
      <c r="A20" s="7">
        <v>18</v>
      </c>
      <c r="B20" s="8">
        <v>2</v>
      </c>
      <c r="C20" s="9" t="s">
        <v>29</v>
      </c>
      <c r="D20" s="12" t="s">
        <v>5</v>
      </c>
      <c r="E20" s="12" t="s">
        <v>24</v>
      </c>
      <c r="F20" t="s">
        <v>25</v>
      </c>
      <c r="H20" t="s">
        <v>90</v>
      </c>
      <c r="I20">
        <v>0.44446049560771789</v>
      </c>
      <c r="J20">
        <v>0.15226800587570305</v>
      </c>
      <c r="K20">
        <v>0.40170168358517466</v>
      </c>
      <c r="L20">
        <v>6.6985031085958031</v>
      </c>
      <c r="M20">
        <v>0.29337454031004973</v>
      </c>
      <c r="N20">
        <v>1.7393107037061577E-2</v>
      </c>
      <c r="O20">
        <v>1.4766513938474093</v>
      </c>
      <c r="Q20" t="s">
        <v>90</v>
      </c>
      <c r="R20">
        <v>3.3185926874313649</v>
      </c>
      <c r="S20">
        <v>13.352315284973242</v>
      </c>
      <c r="T20">
        <v>1.6159643262668044</v>
      </c>
      <c r="U20">
        <v>5.9361377676346243E-2</v>
      </c>
      <c r="V20">
        <v>3.1448356346119879</v>
      </c>
      <c r="W20">
        <v>3.747660450407328E-2</v>
      </c>
      <c r="X20">
        <v>5.8172934457721433E-2</v>
      </c>
      <c r="Y20">
        <v>9.2473447647531469E-4</v>
      </c>
      <c r="Z20">
        <v>0.44021326721550591</v>
      </c>
      <c r="AA20">
        <v>9.328573154559674</v>
      </c>
      <c r="AB20">
        <v>3.2862508301430761E-2</v>
      </c>
    </row>
    <row r="21" spans="1:28">
      <c r="A21" s="7">
        <v>19</v>
      </c>
      <c r="B21" s="8">
        <v>3</v>
      </c>
      <c r="C21" s="9" t="s">
        <v>29</v>
      </c>
      <c r="D21" s="12" t="s">
        <v>3</v>
      </c>
      <c r="E21" s="12" t="s">
        <v>26</v>
      </c>
      <c r="F21" t="s">
        <v>25</v>
      </c>
      <c r="H21" t="s">
        <v>91</v>
      </c>
      <c r="I21">
        <v>1.54699793965661</v>
      </c>
      <c r="J21">
        <v>0.1510028466925509</v>
      </c>
      <c r="K21">
        <v>1.6343792039810352</v>
      </c>
      <c r="L21">
        <v>6.2588604092056546</v>
      </c>
      <c r="M21">
        <v>0.23863675140252788</v>
      </c>
      <c r="N21">
        <v>4.3110475883836617E-2</v>
      </c>
      <c r="O21">
        <v>1.406644582395808</v>
      </c>
      <c r="Q21" t="s">
        <v>91</v>
      </c>
      <c r="R21">
        <v>3.6216416498997153</v>
      </c>
      <c r="S21">
        <v>14.266265977757241</v>
      </c>
      <c r="T21">
        <v>1.5413481147225092</v>
      </c>
      <c r="U21">
        <v>0.1670769740570284</v>
      </c>
      <c r="V21">
        <v>2.7883271075904785</v>
      </c>
      <c r="W21">
        <v>4.5812215597123576E-2</v>
      </c>
      <c r="X21">
        <v>6.2750702942706946E-2</v>
      </c>
      <c r="Y21">
        <v>1.3710504541161132E-3</v>
      </c>
      <c r="Z21">
        <v>0.33413295366308221</v>
      </c>
      <c r="AA21">
        <v>7.6869159996992202</v>
      </c>
      <c r="AB21">
        <v>2.5755262422974799E-2</v>
      </c>
    </row>
    <row r="22" spans="1:28">
      <c r="A22" s="7">
        <v>20</v>
      </c>
      <c r="B22" s="8">
        <v>4</v>
      </c>
      <c r="C22" s="9" t="s">
        <v>29</v>
      </c>
      <c r="D22" s="12" t="s">
        <v>7</v>
      </c>
      <c r="E22" s="12" t="s">
        <v>26</v>
      </c>
      <c r="F22" t="s">
        <v>25</v>
      </c>
      <c r="H22" t="s">
        <v>92</v>
      </c>
      <c r="I22">
        <v>0.70489212775492582</v>
      </c>
      <c r="J22">
        <v>0.17015802312273712</v>
      </c>
      <c r="K22">
        <v>0.48056069649630268</v>
      </c>
      <c r="L22">
        <v>6.9380142106479665</v>
      </c>
      <c r="M22">
        <v>0.23365187269649687</v>
      </c>
      <c r="N22">
        <v>4.1626185254970242E-2</v>
      </c>
      <c r="O22">
        <v>1.5649397528190245</v>
      </c>
      <c r="Q22" t="s">
        <v>92</v>
      </c>
      <c r="R22">
        <v>3.5012839829298459</v>
      </c>
      <c r="S22">
        <v>15.229391786636526</v>
      </c>
      <c r="T22">
        <v>1.774254841461139</v>
      </c>
      <c r="U22">
        <v>0.18534757963881415</v>
      </c>
      <c r="V22">
        <v>3.2939003348579186</v>
      </c>
      <c r="W22">
        <v>4.1510533263478915E-2</v>
      </c>
      <c r="X22">
        <v>6.7047579389953815E-2</v>
      </c>
      <c r="Y22">
        <v>2.1727114008419693E-3</v>
      </c>
      <c r="Z22">
        <v>0.5005829368146506</v>
      </c>
      <c r="AA22">
        <v>9.3826585524496426</v>
      </c>
      <c r="AB22">
        <v>2.9717731786883382E-2</v>
      </c>
    </row>
    <row r="23" spans="1:28">
      <c r="A23" s="7">
        <v>21</v>
      </c>
      <c r="B23" s="8">
        <v>5</v>
      </c>
      <c r="C23" s="9" t="s">
        <v>29</v>
      </c>
      <c r="D23" s="12" t="s">
        <v>5</v>
      </c>
      <c r="E23" s="12" t="s">
        <v>27</v>
      </c>
      <c r="F23" t="s">
        <v>25</v>
      </c>
      <c r="H23" t="s">
        <v>93</v>
      </c>
      <c r="I23">
        <v>2.080925876696802</v>
      </c>
      <c r="J23">
        <v>0.15313112567673334</v>
      </c>
      <c r="K23">
        <v>1.7176539461961911</v>
      </c>
      <c r="L23">
        <v>5.7575977264968641</v>
      </c>
      <c r="M23">
        <v>0.27244370774634746</v>
      </c>
      <c r="N23">
        <v>1.4977681516833111E-2</v>
      </c>
      <c r="O23">
        <v>1.2987926225470958</v>
      </c>
      <c r="Q23" t="s">
        <v>93</v>
      </c>
      <c r="R23">
        <v>3.1139922531313111</v>
      </c>
      <c r="S23">
        <v>14.434910576820149</v>
      </c>
      <c r="T23">
        <v>1.7244366007158975</v>
      </c>
      <c r="U23">
        <v>0.11498616186402338</v>
      </c>
      <c r="V23">
        <v>3.7894535801391509</v>
      </c>
      <c r="W23">
        <v>4.7264495047558343E-2</v>
      </c>
      <c r="X23">
        <v>7.3424654463907515E-2</v>
      </c>
      <c r="Y23">
        <v>1.8976077993738754E-3</v>
      </c>
      <c r="Z23">
        <v>0.4255493668005404</v>
      </c>
      <c r="AA23">
        <v>8.6393335838097283</v>
      </c>
      <c r="AB23">
        <v>2.7340117103119312E-2</v>
      </c>
    </row>
    <row r="24" spans="1:28">
      <c r="A24" s="7">
        <v>22</v>
      </c>
      <c r="B24" s="8">
        <v>6</v>
      </c>
      <c r="C24" s="9" t="s">
        <v>29</v>
      </c>
      <c r="D24" s="12" t="s">
        <v>1</v>
      </c>
      <c r="E24" s="12" t="s">
        <v>27</v>
      </c>
      <c r="F24" t="s">
        <v>25</v>
      </c>
      <c r="H24" t="s">
        <v>94</v>
      </c>
      <c r="I24">
        <v>0.20198661143982349</v>
      </c>
      <c r="J24">
        <v>0.124692531615803</v>
      </c>
      <c r="K24">
        <v>0.32481538507178315</v>
      </c>
      <c r="L24">
        <v>5.8433574887433872</v>
      </c>
      <c r="M24">
        <v>0.23771806161071601</v>
      </c>
      <c r="N24">
        <v>6.7414555446316405E-3</v>
      </c>
      <c r="O24">
        <v>1.8934160215921694</v>
      </c>
      <c r="Q24" t="s">
        <v>94</v>
      </c>
      <c r="R24">
        <v>3.4967914078221431</v>
      </c>
      <c r="S24">
        <v>14.053254594519952</v>
      </c>
      <c r="T24">
        <v>1.6062428100417536</v>
      </c>
      <c r="U24">
        <v>7.2550788933905042E-2</v>
      </c>
      <c r="V24">
        <v>3.0760258597331225</v>
      </c>
      <c r="W24">
        <v>4.3109773824482875E-2</v>
      </c>
      <c r="X24">
        <v>5.8996710084040671E-2</v>
      </c>
      <c r="Y24">
        <v>7.1627115921359613E-3</v>
      </c>
      <c r="Z24">
        <v>0.39348112684799463</v>
      </c>
      <c r="AA24">
        <v>9.9735913563812204</v>
      </c>
      <c r="AB24">
        <v>2.2116691287869882E-2</v>
      </c>
    </row>
    <row r="25" spans="1:28">
      <c r="A25" s="7">
        <v>23</v>
      </c>
      <c r="B25" s="8">
        <v>7</v>
      </c>
      <c r="C25" s="9" t="s">
        <v>29</v>
      </c>
      <c r="D25" s="12" t="s">
        <v>7</v>
      </c>
      <c r="E25" s="12" t="s">
        <v>28</v>
      </c>
      <c r="F25" t="s">
        <v>25</v>
      </c>
      <c r="H25" t="s">
        <v>95</v>
      </c>
      <c r="I25">
        <v>0.85401709214806965</v>
      </c>
      <c r="J25">
        <v>0.14745421459428021</v>
      </c>
      <c r="K25">
        <v>0.60052587086014797</v>
      </c>
      <c r="L25">
        <v>6.793038513775401</v>
      </c>
      <c r="M25">
        <v>0.33597412502882218</v>
      </c>
      <c r="N25">
        <v>7.9410803255858236E-3</v>
      </c>
      <c r="O25">
        <v>1.9910676340299431</v>
      </c>
      <c r="Q25" t="s">
        <v>95</v>
      </c>
      <c r="R25">
        <v>3.1241986786757745</v>
      </c>
      <c r="S25">
        <v>14.852553808128791</v>
      </c>
      <c r="T25">
        <v>1.7183156088599767</v>
      </c>
      <c r="U25">
        <v>5.9166597431573618E-2</v>
      </c>
      <c r="V25">
        <v>3.4138643556290673</v>
      </c>
      <c r="W25">
        <v>5.167860713335086E-2</v>
      </c>
      <c r="X25">
        <v>6.4823589472081972E-2</v>
      </c>
      <c r="Y25">
        <v>7.3983300099673445E-3</v>
      </c>
      <c r="Z25">
        <v>0.42765201317145407</v>
      </c>
      <c r="AA25">
        <v>8.096708355572142</v>
      </c>
      <c r="AB25">
        <v>2.9116996840037965E-2</v>
      </c>
    </row>
    <row r="26" spans="1:28">
      <c r="A26" s="7">
        <v>24</v>
      </c>
      <c r="B26" s="8">
        <v>8</v>
      </c>
      <c r="C26" s="9" t="s">
        <v>29</v>
      </c>
      <c r="D26" s="12" t="s">
        <v>3</v>
      </c>
      <c r="E26" s="12" t="s">
        <v>28</v>
      </c>
      <c r="F26" t="s">
        <v>25</v>
      </c>
      <c r="H26" t="s">
        <v>96</v>
      </c>
      <c r="I26">
        <v>1.4714395229287518</v>
      </c>
      <c r="J26">
        <v>0.15823480894105857</v>
      </c>
      <c r="K26">
        <v>0.40913334189175832</v>
      </c>
      <c r="L26">
        <v>5.9488846106492028</v>
      </c>
      <c r="M26">
        <v>0.15902423725373188</v>
      </c>
      <c r="N26">
        <v>7.8485529224322243E-3</v>
      </c>
      <c r="O26">
        <v>1.778043490411704</v>
      </c>
      <c r="Q26" t="s">
        <v>96</v>
      </c>
      <c r="R26">
        <v>2.8441480467487796</v>
      </c>
      <c r="S26">
        <v>14.176920790116986</v>
      </c>
      <c r="T26">
        <v>1.5056516917234366</v>
      </c>
      <c r="U26">
        <v>0.13603628350265662</v>
      </c>
      <c r="V26">
        <v>2.8453204442285029</v>
      </c>
      <c r="W26">
        <v>4.6301938580552836E-2</v>
      </c>
      <c r="X26">
        <v>6.3280617190060104E-2</v>
      </c>
      <c r="Y26">
        <v>-3.928776246975769E-3</v>
      </c>
      <c r="Z26">
        <v>0.45362740655998796</v>
      </c>
      <c r="AA26">
        <v>9.2042690583883644</v>
      </c>
      <c r="AB26">
        <v>2.3175118726339008E-2</v>
      </c>
    </row>
    <row r="27" spans="1:28">
      <c r="A27" s="7">
        <v>25</v>
      </c>
      <c r="B27" s="8">
        <v>9</v>
      </c>
      <c r="C27" s="9" t="s">
        <v>29</v>
      </c>
      <c r="D27" s="12" t="s">
        <v>5</v>
      </c>
      <c r="E27" s="12" t="s">
        <v>28</v>
      </c>
      <c r="F27" t="s">
        <v>25</v>
      </c>
      <c r="H27" t="s">
        <v>97</v>
      </c>
      <c r="I27">
        <v>1.5294996827941307</v>
      </c>
      <c r="J27">
        <v>0.15779278851661274</v>
      </c>
      <c r="K27">
        <v>0.47012125233450602</v>
      </c>
      <c r="L27">
        <v>6.3423427102184462</v>
      </c>
      <c r="M27">
        <v>0.22176731158643728</v>
      </c>
      <c r="N27">
        <v>9.7982926125267465E-3</v>
      </c>
      <c r="O27">
        <v>1.0978973044571829</v>
      </c>
      <c r="Q27" t="s">
        <v>97</v>
      </c>
      <c r="R27">
        <v>3.1181622268252407</v>
      </c>
      <c r="S27">
        <v>14.656653701219495</v>
      </c>
      <c r="T27">
        <v>1.459229362905416</v>
      </c>
      <c r="U27">
        <v>9.2642608074102475E-2</v>
      </c>
      <c r="V27">
        <v>3.2943159498228161</v>
      </c>
      <c r="W27">
        <v>6.0942296639163729E-2</v>
      </c>
      <c r="X27">
        <v>5.3041584714499948E-2</v>
      </c>
      <c r="Y27">
        <v>8.7185316361448831E-3</v>
      </c>
      <c r="Z27">
        <v>0.39810298054208398</v>
      </c>
      <c r="AA27">
        <v>9.9644843857167817</v>
      </c>
      <c r="AB27">
        <v>2.6668104482265666E-2</v>
      </c>
    </row>
    <row r="28" spans="1:28">
      <c r="A28" s="7">
        <v>26</v>
      </c>
      <c r="B28" s="8">
        <v>10</v>
      </c>
      <c r="C28" s="9" t="s">
        <v>29</v>
      </c>
      <c r="D28" s="12" t="s">
        <v>1</v>
      </c>
      <c r="E28" s="12" t="s">
        <v>28</v>
      </c>
      <c r="F28" t="s">
        <v>25</v>
      </c>
      <c r="H28" t="s">
        <v>98</v>
      </c>
      <c r="I28">
        <v>1.4817742449182334</v>
      </c>
      <c r="J28">
        <v>0.15393410848373304</v>
      </c>
      <c r="K28">
        <v>0.71350045920766836</v>
      </c>
      <c r="L28">
        <v>7.2011523063582592</v>
      </c>
      <c r="M28">
        <v>0.47088653450678419</v>
      </c>
      <c r="N28">
        <v>4.6027662034576729E-3</v>
      </c>
      <c r="O28">
        <v>0.93028474184545251</v>
      </c>
      <c r="Q28" t="s">
        <v>98</v>
      </c>
      <c r="R28">
        <v>3.0334764245190429</v>
      </c>
      <c r="S28">
        <v>15.909562709597294</v>
      </c>
      <c r="T28">
        <v>2.0381507213487602</v>
      </c>
      <c r="U28">
        <v>0.32274417096133823</v>
      </c>
      <c r="V28">
        <v>3.3768171149950028</v>
      </c>
      <c r="W28">
        <v>5.8895023881036769E-2</v>
      </c>
      <c r="X28">
        <v>5.4963202819915555E-2</v>
      </c>
      <c r="Y28">
        <v>7.5114398041893355E-4</v>
      </c>
      <c r="Z28">
        <v>0.3138458931170453</v>
      </c>
      <c r="AA28">
        <v>8.174309862821584</v>
      </c>
      <c r="AB28">
        <v>3.7031340205650597E-2</v>
      </c>
    </row>
    <row r="29" spans="1:28">
      <c r="A29" s="7">
        <v>27</v>
      </c>
      <c r="B29" s="8">
        <v>11</v>
      </c>
      <c r="C29" s="9" t="s">
        <v>29</v>
      </c>
      <c r="D29" s="12" t="s">
        <v>3</v>
      </c>
      <c r="E29" s="12" t="s">
        <v>27</v>
      </c>
      <c r="F29" t="s">
        <v>25</v>
      </c>
      <c r="H29" t="s">
        <v>99</v>
      </c>
      <c r="I29">
        <v>0.22642488589281756</v>
      </c>
      <c r="J29">
        <v>0.14705752101114913</v>
      </c>
      <c r="K29">
        <v>0.36542204714622961</v>
      </c>
      <c r="L29">
        <v>6.4522537494127583</v>
      </c>
      <c r="M29">
        <v>7.0575881025040185E-2</v>
      </c>
      <c r="N29">
        <v>5.2278726632029371E-2</v>
      </c>
      <c r="O29">
        <v>1.2018739913591532</v>
      </c>
      <c r="Q29" t="s">
        <v>99</v>
      </c>
      <c r="R29">
        <v>3.1052506342816271</v>
      </c>
      <c r="S29">
        <v>14.899032880126535</v>
      </c>
      <c r="T29">
        <v>1.4757556644641159</v>
      </c>
      <c r="U29">
        <v>0.11220479313502062</v>
      </c>
      <c r="V29">
        <v>2.9653763209971862</v>
      </c>
      <c r="W29">
        <v>4.3604166614780442E-2</v>
      </c>
      <c r="X29">
        <v>5.521849403179311E-2</v>
      </c>
      <c r="Y29">
        <v>-3.9678032152853232E-3</v>
      </c>
      <c r="Z29">
        <v>0.39878870044675074</v>
      </c>
      <c r="AA29">
        <v>8.912909229767159</v>
      </c>
      <c r="AB29">
        <v>3.3831173470879744E-2</v>
      </c>
    </row>
    <row r="30" spans="1:28">
      <c r="A30" s="7">
        <v>28</v>
      </c>
      <c r="B30" s="8">
        <v>12</v>
      </c>
      <c r="C30" s="9" t="s">
        <v>29</v>
      </c>
      <c r="D30" s="12" t="s">
        <v>7</v>
      </c>
      <c r="E30" s="12" t="s">
        <v>27</v>
      </c>
      <c r="F30" t="s">
        <v>25</v>
      </c>
      <c r="H30" t="s">
        <v>100</v>
      </c>
      <c r="I30">
        <v>0.43102356294116645</v>
      </c>
      <c r="J30">
        <v>0.18673650653926355</v>
      </c>
      <c r="K30">
        <v>0.52239688424879038</v>
      </c>
      <c r="L30">
        <v>6.0004249992065324</v>
      </c>
      <c r="M30">
        <v>0.14519968781330836</v>
      </c>
      <c r="N30">
        <v>5.772983153872828E-2</v>
      </c>
      <c r="O30">
        <v>1.3895169119275836</v>
      </c>
      <c r="Q30" t="s">
        <v>100</v>
      </c>
      <c r="R30">
        <v>2.9774630977014538</v>
      </c>
      <c r="S30">
        <v>14.749437394713437</v>
      </c>
      <c r="T30">
        <v>1.5838102666779177</v>
      </c>
      <c r="U30">
        <v>0.20282631140134363</v>
      </c>
      <c r="V30">
        <v>2.8918485587548846</v>
      </c>
      <c r="W30">
        <v>4.5605541995424451E-2</v>
      </c>
      <c r="X30">
        <v>6.1327318101738783E-2</v>
      </c>
      <c r="Y30">
        <v>1.2081621274819312E-2</v>
      </c>
      <c r="Z30">
        <v>0.49621611983399699</v>
      </c>
      <c r="AA30">
        <v>8.5171901949125655</v>
      </c>
      <c r="AB30">
        <v>2.3290954528241162E-2</v>
      </c>
    </row>
    <row r="31" spans="1:28">
      <c r="A31" s="7">
        <v>29</v>
      </c>
      <c r="B31" s="8">
        <v>13</v>
      </c>
      <c r="C31" s="9" t="s">
        <v>29</v>
      </c>
      <c r="D31" s="12" t="s">
        <v>1</v>
      </c>
      <c r="E31" s="12" t="s">
        <v>26</v>
      </c>
      <c r="F31" t="s">
        <v>25</v>
      </c>
      <c r="H31" t="s">
        <v>101</v>
      </c>
      <c r="I31">
        <v>0.35407054843931096</v>
      </c>
      <c r="J31">
        <v>0.17831630617839714</v>
      </c>
      <c r="K31">
        <v>0.37098324803521321</v>
      </c>
      <c r="L31">
        <v>6.6446147497694295</v>
      </c>
      <c r="M31">
        <v>4.4858038696551764E-2</v>
      </c>
      <c r="N31">
        <v>4.2605137685299319E-2</v>
      </c>
      <c r="O31">
        <v>1.4585986397991932</v>
      </c>
      <c r="Q31" t="s">
        <v>101</v>
      </c>
      <c r="R31">
        <v>2.8060917511796339</v>
      </c>
      <c r="S31">
        <v>13.724724623004775</v>
      </c>
      <c r="T31">
        <v>1.5459846070266703</v>
      </c>
      <c r="U31">
        <v>8.040071517626747E-2</v>
      </c>
      <c r="V31">
        <v>3.3452895841824297</v>
      </c>
      <c r="W31">
        <v>4.8949137971980541E-2</v>
      </c>
      <c r="X31">
        <v>5.2620276397973287E-2</v>
      </c>
      <c r="Y31">
        <v>2.4072397389243074E-3</v>
      </c>
      <c r="Z31">
        <v>0.50219054327017754</v>
      </c>
      <c r="AA31">
        <v>9.855814237573906</v>
      </c>
      <c r="AB31">
        <v>2.8706593246859768E-2</v>
      </c>
    </row>
    <row r="32" spans="1:28">
      <c r="A32" s="7">
        <v>30</v>
      </c>
      <c r="B32" s="8">
        <v>14</v>
      </c>
      <c r="C32" s="9" t="s">
        <v>29</v>
      </c>
      <c r="D32" s="12" t="s">
        <v>5</v>
      </c>
      <c r="E32" s="12" t="s">
        <v>26</v>
      </c>
      <c r="F32" t="s">
        <v>25</v>
      </c>
      <c r="H32" t="s">
        <v>102</v>
      </c>
      <c r="I32">
        <v>0.40636144842040145</v>
      </c>
      <c r="J32">
        <v>0.17564974055484991</v>
      </c>
      <c r="K32">
        <v>0.35642398479295112</v>
      </c>
      <c r="L32">
        <v>6.5046255054328039</v>
      </c>
      <c r="M32">
        <v>0.11729064578061263</v>
      </c>
      <c r="N32">
        <v>3.4538762450690673E-2</v>
      </c>
      <c r="O32">
        <v>1.2375032574343556</v>
      </c>
      <c r="Q32" t="s">
        <v>102</v>
      </c>
      <c r="R32">
        <v>2.995356259099569</v>
      </c>
      <c r="S32">
        <v>15.838116748762454</v>
      </c>
      <c r="T32">
        <v>1.463625355154885</v>
      </c>
      <c r="U32">
        <v>0.16437584187738569</v>
      </c>
      <c r="V32">
        <v>2.6856488926104607</v>
      </c>
      <c r="W32">
        <v>4.8756034799711807E-2</v>
      </c>
      <c r="X32">
        <v>5.4457508429241436E-2</v>
      </c>
      <c r="Y32">
        <v>2.6881230941564519E-3</v>
      </c>
      <c r="Z32">
        <v>0.4471178316737966</v>
      </c>
      <c r="AA32">
        <v>9.4389400390107703</v>
      </c>
      <c r="AB32">
        <v>2.5400763138956964E-2</v>
      </c>
    </row>
    <row r="33" spans="1:28">
      <c r="A33" s="7">
        <v>31</v>
      </c>
      <c r="B33" s="8">
        <v>15</v>
      </c>
      <c r="C33" s="9" t="s">
        <v>29</v>
      </c>
      <c r="D33" s="12" t="s">
        <v>7</v>
      </c>
      <c r="E33" s="12" t="s">
        <v>24</v>
      </c>
      <c r="F33" t="s">
        <v>25</v>
      </c>
      <c r="H33" t="s">
        <v>103</v>
      </c>
      <c r="I33">
        <v>0.11413787132336287</v>
      </c>
      <c r="J33">
        <v>0.14933975450087347</v>
      </c>
      <c r="K33">
        <v>0.24796458101085256</v>
      </c>
      <c r="L33">
        <v>6.4134300472055195</v>
      </c>
      <c r="M33">
        <v>0.17197524816411855</v>
      </c>
      <c r="N33">
        <v>1.1877059800613536E-2</v>
      </c>
      <c r="O33">
        <v>1.1917758244248995</v>
      </c>
      <c r="Q33" t="s">
        <v>103</v>
      </c>
      <c r="R33">
        <v>2.9293666825227938</v>
      </c>
      <c r="S33">
        <v>13.713147378188387</v>
      </c>
      <c r="T33">
        <v>1.6114730465697318</v>
      </c>
      <c r="U33">
        <v>0.23473741138486434</v>
      </c>
      <c r="V33">
        <v>3.445553797416717</v>
      </c>
      <c r="W33">
        <v>4.8132175245860741E-2</v>
      </c>
      <c r="X33">
        <v>5.8298365206727119E-2</v>
      </c>
      <c r="Y33">
        <v>1.0513529980168161E-2</v>
      </c>
      <c r="Z33">
        <v>0.41753174617502431</v>
      </c>
      <c r="AA33">
        <v>9.5763192022283992</v>
      </c>
      <c r="AB33">
        <v>2.5289313506972066E-2</v>
      </c>
    </row>
    <row r="34" spans="1:28">
      <c r="A34" s="7">
        <v>32</v>
      </c>
      <c r="B34" s="8">
        <v>16</v>
      </c>
      <c r="C34" s="9" t="s">
        <v>29</v>
      </c>
      <c r="D34" s="12" t="s">
        <v>3</v>
      </c>
      <c r="E34" s="12" t="s">
        <v>24</v>
      </c>
      <c r="F34" t="s">
        <v>25</v>
      </c>
      <c r="H34" t="s">
        <v>104</v>
      </c>
      <c r="I34">
        <v>0.38702833030857786</v>
      </c>
      <c r="J34">
        <v>0.16615230636832354</v>
      </c>
      <c r="K34">
        <v>0.55315507593428737</v>
      </c>
      <c r="L34">
        <v>6.5077205466782901</v>
      </c>
      <c r="M34">
        <v>9.0236529085779255E-2</v>
      </c>
      <c r="N34">
        <v>3.1529334240721546E-2</v>
      </c>
      <c r="O34">
        <v>1.2003863662142984</v>
      </c>
      <c r="Q34" t="s">
        <v>104</v>
      </c>
      <c r="R34">
        <v>2.9418529279770049</v>
      </c>
      <c r="S34">
        <v>14.722699793583603</v>
      </c>
      <c r="T34">
        <v>1.3916437678979108</v>
      </c>
      <c r="U34">
        <v>0.12992780217337521</v>
      </c>
      <c r="V34">
        <v>2.5792297352848328</v>
      </c>
      <c r="W34">
        <v>4.0316852207425813E-2</v>
      </c>
      <c r="X34">
        <v>4.9573802030741868E-2</v>
      </c>
      <c r="Y34">
        <v>1.3497540501799719E-2</v>
      </c>
      <c r="Z34">
        <v>0.44251666409504742</v>
      </c>
      <c r="AA34">
        <v>8.2247949845593791</v>
      </c>
      <c r="AB34">
        <v>2.6851670303397829E-2</v>
      </c>
    </row>
    <row r="35" spans="1:28">
      <c r="A35" s="7">
        <v>33</v>
      </c>
      <c r="B35" s="8">
        <v>1</v>
      </c>
      <c r="C35" s="9" t="s">
        <v>23</v>
      </c>
      <c r="D35" s="12" t="s">
        <v>1</v>
      </c>
      <c r="E35" s="12" t="s">
        <v>24</v>
      </c>
      <c r="F35" t="s">
        <v>30</v>
      </c>
      <c r="H35" t="s">
        <v>105</v>
      </c>
      <c r="I35">
        <v>0.46071167088106801</v>
      </c>
      <c r="J35">
        <v>0.23280302653164597</v>
      </c>
      <c r="K35">
        <v>0.65517157227028877</v>
      </c>
      <c r="L35">
        <v>8.8034886306578048</v>
      </c>
      <c r="M35">
        <v>5.7182899084245287E-2</v>
      </c>
      <c r="N35">
        <v>1.0109969587902513E-2</v>
      </c>
      <c r="O35">
        <v>2.1628314770957968</v>
      </c>
      <c r="Q35" t="s">
        <v>105</v>
      </c>
      <c r="R35">
        <v>2.3708315934949802</v>
      </c>
      <c r="S35">
        <v>17.333868208535065</v>
      </c>
      <c r="T35">
        <v>1.8021178707285133</v>
      </c>
      <c r="U35">
        <v>7.0397376506971976E-2</v>
      </c>
      <c r="V35">
        <v>4.4099947753334874</v>
      </c>
      <c r="W35">
        <v>7.9447068045432015E-2</v>
      </c>
      <c r="X35">
        <v>4.7189732376784456E-2</v>
      </c>
      <c r="Y35">
        <v>4.843435856575877E-2</v>
      </c>
      <c r="Z35">
        <v>0.70315768251229338</v>
      </c>
      <c r="AA35">
        <v>18.465274549843596</v>
      </c>
      <c r="AB35">
        <v>2.4092282209062309E-2</v>
      </c>
    </row>
    <row r="36" spans="1:28">
      <c r="A36" s="7">
        <v>34</v>
      </c>
      <c r="B36" s="8">
        <v>2</v>
      </c>
      <c r="C36" s="9" t="s">
        <v>23</v>
      </c>
      <c r="D36" s="12" t="s">
        <v>5</v>
      </c>
      <c r="E36" s="12" t="s">
        <v>24</v>
      </c>
      <c r="F36" t="s">
        <v>30</v>
      </c>
      <c r="H36" t="s">
        <v>106</v>
      </c>
      <c r="I36">
        <v>1.2241185715106042</v>
      </c>
      <c r="J36">
        <v>0.25010468722360707</v>
      </c>
      <c r="K36">
        <v>0.99562985601504472</v>
      </c>
      <c r="L36">
        <v>9.8503561572687737</v>
      </c>
      <c r="M36">
        <v>-6.4264655758669964E-2</v>
      </c>
      <c r="N36">
        <v>0.16533223927550447</v>
      </c>
      <c r="O36">
        <v>2.8468703737672612</v>
      </c>
      <c r="Q36" t="s">
        <v>106</v>
      </c>
      <c r="R36">
        <v>2.9066008222047683</v>
      </c>
      <c r="S36">
        <v>18.83431058545958</v>
      </c>
      <c r="T36">
        <v>1.860243161297862</v>
      </c>
      <c r="U36">
        <v>0.26813667126241919</v>
      </c>
      <c r="V36">
        <v>4.3450820071547369</v>
      </c>
      <c r="W36">
        <v>0.12237669884737262</v>
      </c>
      <c r="X36">
        <v>4.951341454120553E-2</v>
      </c>
      <c r="Y36">
        <v>2.4686452581211129E-2</v>
      </c>
      <c r="Z36">
        <v>0.68957090359639583</v>
      </c>
      <c r="AA36">
        <v>18.756658166221218</v>
      </c>
      <c r="AB36">
        <v>2.9930338213706716E-2</v>
      </c>
    </row>
    <row r="37" spans="1:28">
      <c r="A37" s="7">
        <v>35</v>
      </c>
      <c r="B37" s="8">
        <v>3</v>
      </c>
      <c r="C37" s="9" t="s">
        <v>23</v>
      </c>
      <c r="D37" s="12" t="s">
        <v>3</v>
      </c>
      <c r="E37" s="12" t="s">
        <v>26</v>
      </c>
      <c r="F37" t="s">
        <v>30</v>
      </c>
      <c r="H37" t="s">
        <v>107</v>
      </c>
      <c r="I37">
        <v>0.25174413658410361</v>
      </c>
      <c r="J37">
        <v>0.19350037999328698</v>
      </c>
      <c r="K37">
        <v>0.48035325038911231</v>
      </c>
      <c r="L37">
        <v>8.2820476841024195</v>
      </c>
      <c r="M37">
        <v>7.0143949600891223E-2</v>
      </c>
      <c r="N37">
        <v>5.284067353558357E-3</v>
      </c>
      <c r="O37">
        <v>6.3412553474094828</v>
      </c>
      <c r="Q37" t="s">
        <v>107</v>
      </c>
      <c r="R37">
        <v>2.7324814056226048</v>
      </c>
      <c r="S37">
        <v>17.583654760092056</v>
      </c>
      <c r="T37">
        <v>1.8814200862688641</v>
      </c>
      <c r="U37">
        <v>7.2836616163525658E-2</v>
      </c>
      <c r="V37">
        <v>4.556191035654785</v>
      </c>
      <c r="W37">
        <v>0.11989553849987997</v>
      </c>
      <c r="X37">
        <v>4.7304989428056318E-2</v>
      </c>
      <c r="Y37">
        <v>1.7724370207930665E-2</v>
      </c>
      <c r="Z37">
        <v>0.43698730089391447</v>
      </c>
      <c r="AA37">
        <v>18.669628301378385</v>
      </c>
      <c r="AB37">
        <v>2.3429244671446442E-2</v>
      </c>
    </row>
    <row r="38" spans="1:28">
      <c r="A38" s="7">
        <v>36</v>
      </c>
      <c r="B38" s="8">
        <v>4</v>
      </c>
      <c r="C38" s="9" t="s">
        <v>23</v>
      </c>
      <c r="D38" s="12" t="s">
        <v>7</v>
      </c>
      <c r="E38" s="12" t="s">
        <v>26</v>
      </c>
      <c r="F38" t="s">
        <v>30</v>
      </c>
      <c r="H38" t="s">
        <v>108</v>
      </c>
      <c r="I38">
        <v>1.1348226737633822</v>
      </c>
      <c r="J38">
        <v>0.19326574026153742</v>
      </c>
      <c r="K38">
        <v>0.83395874988551877</v>
      </c>
      <c r="L38">
        <v>7.8807421944713871</v>
      </c>
      <c r="M38">
        <v>-9.9649209483014034E-2</v>
      </c>
      <c r="N38">
        <v>6.6095535688648455E-2</v>
      </c>
      <c r="O38">
        <v>2.4208810878484548</v>
      </c>
      <c r="Q38" t="s">
        <v>108</v>
      </c>
      <c r="R38">
        <v>2.4832523921283731</v>
      </c>
      <c r="S38">
        <v>17.35483102506976</v>
      </c>
      <c r="T38">
        <v>1.6771118605934823</v>
      </c>
      <c r="U38">
        <v>0.12742973578788824</v>
      </c>
      <c r="V38">
        <v>3.8259082982198569</v>
      </c>
      <c r="W38">
        <v>0.12080447518631504</v>
      </c>
      <c r="X38">
        <v>4.0290889856525874E-2</v>
      </c>
      <c r="Y38">
        <v>1.5877653621704367E-2</v>
      </c>
      <c r="Z38">
        <v>0.56282816199549934</v>
      </c>
      <c r="AA38">
        <v>17.289833775820579</v>
      </c>
      <c r="AB38">
        <v>2.8155203817264253E-2</v>
      </c>
    </row>
    <row r="39" spans="1:28">
      <c r="A39" s="7">
        <v>37</v>
      </c>
      <c r="B39" s="8">
        <v>5</v>
      </c>
      <c r="C39" s="9" t="s">
        <v>23</v>
      </c>
      <c r="D39" s="12" t="s">
        <v>5</v>
      </c>
      <c r="E39" s="12" t="s">
        <v>27</v>
      </c>
      <c r="F39" t="s">
        <v>30</v>
      </c>
      <c r="H39" t="s">
        <v>109</v>
      </c>
      <c r="I39">
        <v>0.59097143781894546</v>
      </c>
      <c r="J39">
        <v>0.21510083489457385</v>
      </c>
      <c r="K39">
        <v>1.1646484546416671</v>
      </c>
      <c r="L39">
        <v>7.7433475510471643</v>
      </c>
      <c r="M39">
        <v>4.5310692678738211E-2</v>
      </c>
      <c r="N39">
        <v>1.443270752106759E-2</v>
      </c>
      <c r="O39">
        <v>2.2135129783951979</v>
      </c>
      <c r="Q39" t="s">
        <v>109</v>
      </c>
      <c r="R39">
        <v>2.6023643524758215</v>
      </c>
      <c r="S39">
        <v>15.130914515740589</v>
      </c>
      <c r="T39">
        <v>1.8170737924151863</v>
      </c>
      <c r="U39">
        <v>1.7017730699733308E-2</v>
      </c>
      <c r="V39">
        <v>4.465432023853932</v>
      </c>
      <c r="W39">
        <v>0.11984319735715</v>
      </c>
      <c r="X39">
        <v>4.3754644155417043E-2</v>
      </c>
      <c r="Y39">
        <v>3.0410910596540396E-2</v>
      </c>
      <c r="Z39">
        <v>0.63210622643627867</v>
      </c>
      <c r="AA39">
        <v>19.285753168123566</v>
      </c>
      <c r="AB39">
        <v>2.3633077510690131E-2</v>
      </c>
    </row>
    <row r="40" spans="1:28">
      <c r="A40" s="7">
        <v>38</v>
      </c>
      <c r="B40" s="8">
        <v>6</v>
      </c>
      <c r="C40" s="9" t="s">
        <v>23</v>
      </c>
      <c r="D40" s="12" t="s">
        <v>1</v>
      </c>
      <c r="E40" s="12" t="s">
        <v>27</v>
      </c>
      <c r="F40" t="s">
        <v>30</v>
      </c>
      <c r="H40" t="s">
        <v>110</v>
      </c>
      <c r="I40">
        <v>0.28693714799485703</v>
      </c>
      <c r="J40">
        <v>0.16479434425238892</v>
      </c>
      <c r="K40">
        <v>0.49330444901535908</v>
      </c>
      <c r="L40">
        <v>8.1177932001228275</v>
      </c>
      <c r="M40">
        <v>0.25376598008952206</v>
      </c>
      <c r="N40">
        <v>0.61764296079410808</v>
      </c>
      <c r="O40">
        <v>2.9018311356122095</v>
      </c>
      <c r="Q40" t="s">
        <v>110</v>
      </c>
      <c r="R40">
        <v>3.2039018513967927</v>
      </c>
      <c r="S40">
        <v>18.879849926129157</v>
      </c>
      <c r="T40">
        <v>1.9578482514014193</v>
      </c>
      <c r="U40">
        <v>7.0498797809409458E-2</v>
      </c>
      <c r="V40">
        <v>4.374875348480689</v>
      </c>
      <c r="W40">
        <v>0.13353807193534303</v>
      </c>
      <c r="X40">
        <v>4.7379681506977078E-2</v>
      </c>
      <c r="Y40">
        <v>0.10535080119235823</v>
      </c>
      <c r="Z40">
        <v>0.50923527430781368</v>
      </c>
      <c r="AA40">
        <v>18.25485912472589</v>
      </c>
      <c r="AB40">
        <v>2.3435374385132858E-2</v>
      </c>
    </row>
    <row r="41" spans="1:28">
      <c r="A41" s="7">
        <v>39</v>
      </c>
      <c r="B41" s="8">
        <v>7</v>
      </c>
      <c r="C41" s="9" t="s">
        <v>23</v>
      </c>
      <c r="D41" s="12" t="s">
        <v>7</v>
      </c>
      <c r="E41" s="12" t="s">
        <v>28</v>
      </c>
      <c r="F41" t="s">
        <v>30</v>
      </c>
      <c r="H41" t="s">
        <v>111</v>
      </c>
      <c r="I41">
        <v>1.3144829413610191</v>
      </c>
      <c r="J41">
        <v>0.20086739336407006</v>
      </c>
      <c r="K41">
        <v>1.4201460897805172</v>
      </c>
      <c r="L41">
        <v>8.0339362854530059</v>
      </c>
      <c r="M41">
        <v>7.764910333732393E-2</v>
      </c>
      <c r="N41">
        <v>4.5358305922478213E-3</v>
      </c>
      <c r="O41">
        <v>1.8462604806656846</v>
      </c>
      <c r="Q41" t="s">
        <v>111</v>
      </c>
      <c r="R41">
        <v>2.6918310268006764</v>
      </c>
      <c r="S41">
        <v>17.62466063901557</v>
      </c>
      <c r="T41">
        <v>1.8309842208987954</v>
      </c>
      <c r="U41">
        <v>4.0092647135488067E-2</v>
      </c>
      <c r="V41">
        <v>4.6660871746986903</v>
      </c>
      <c r="W41">
        <v>0.14677496230674808</v>
      </c>
      <c r="X41">
        <v>4.2245589299686546E-2</v>
      </c>
      <c r="Y41">
        <v>6.1713663500107332E-2</v>
      </c>
      <c r="Z41">
        <v>0.580993568694955</v>
      </c>
      <c r="AA41">
        <v>19.019517407460398</v>
      </c>
      <c r="AB41">
        <v>2.3942294306414907E-2</v>
      </c>
    </row>
    <row r="42" spans="1:28">
      <c r="A42" s="7">
        <v>40</v>
      </c>
      <c r="B42" s="8">
        <v>8</v>
      </c>
      <c r="C42" s="9" t="s">
        <v>23</v>
      </c>
      <c r="D42" s="12" t="s">
        <v>3</v>
      </c>
      <c r="E42" s="12" t="s">
        <v>28</v>
      </c>
      <c r="F42" t="s">
        <v>30</v>
      </c>
      <c r="H42" t="s">
        <v>112</v>
      </c>
      <c r="I42">
        <v>0.63803559046129776</v>
      </c>
      <c r="J42">
        <v>0.1946833892993502</v>
      </c>
      <c r="K42">
        <v>0.75954471657158151</v>
      </c>
      <c r="L42">
        <v>8.7450060043568865</v>
      </c>
      <c r="M42">
        <v>2.3385892928668276E-2</v>
      </c>
      <c r="N42">
        <v>3.0764472716233696E-3</v>
      </c>
      <c r="O42">
        <v>2.0138058422988929</v>
      </c>
      <c r="Q42" t="s">
        <v>112</v>
      </c>
      <c r="R42">
        <v>2.4754554685588976</v>
      </c>
      <c r="S42">
        <v>16.43419617829926</v>
      </c>
      <c r="T42">
        <v>1.8811632509660519</v>
      </c>
      <c r="U42">
        <v>0.45893268071856136</v>
      </c>
      <c r="V42">
        <v>4.5026387350863342</v>
      </c>
      <c r="W42">
        <v>0.10794687999505211</v>
      </c>
      <c r="X42">
        <v>3.7780108905771E-2</v>
      </c>
      <c r="Y42">
        <v>7.1037427515780932E-2</v>
      </c>
      <c r="Z42">
        <v>0.56570663450759617</v>
      </c>
      <c r="AA42">
        <v>18.162714144384832</v>
      </c>
      <c r="AB42">
        <v>2.5319368410526618E-2</v>
      </c>
    </row>
    <row r="43" spans="1:28">
      <c r="A43" s="7">
        <v>41</v>
      </c>
      <c r="B43" s="8">
        <v>9</v>
      </c>
      <c r="C43" s="9" t="s">
        <v>23</v>
      </c>
      <c r="D43" s="12" t="s">
        <v>5</v>
      </c>
      <c r="E43" s="12" t="s">
        <v>28</v>
      </c>
      <c r="F43" t="s">
        <v>30</v>
      </c>
      <c r="H43" t="s">
        <v>113</v>
      </c>
      <c r="I43">
        <v>0.9056210905378852</v>
      </c>
      <c r="J43">
        <v>0.15893726854373277</v>
      </c>
      <c r="K43">
        <v>1.0712196944513841</v>
      </c>
      <c r="L43">
        <v>9.2181061731225586</v>
      </c>
      <c r="M43">
        <v>-7.6630766655499576E-3</v>
      </c>
      <c r="N43">
        <v>3.4224841049277721E-4</v>
      </c>
      <c r="O43">
        <v>1.4900838054920797</v>
      </c>
      <c r="Q43" t="s">
        <v>113</v>
      </c>
      <c r="R43">
        <v>2.3065576031680752</v>
      </c>
      <c r="S43">
        <v>18.289854381897683</v>
      </c>
      <c r="T43">
        <v>1.9057297398426545</v>
      </c>
      <c r="U43">
        <v>8.5553339774603568E-2</v>
      </c>
      <c r="V43">
        <v>4.8074897840789266</v>
      </c>
      <c r="W43">
        <v>0.15284964125384462</v>
      </c>
      <c r="X43">
        <v>5.2327572913378029E-2</v>
      </c>
      <c r="Y43">
        <v>2.2092922850331303E-2</v>
      </c>
      <c r="Z43">
        <v>0.4673038770759117</v>
      </c>
      <c r="AA43">
        <v>20.585437597668562</v>
      </c>
      <c r="AB43">
        <v>2.3119879453544937E-2</v>
      </c>
    </row>
    <row r="44" spans="1:28">
      <c r="A44" s="7">
        <v>42</v>
      </c>
      <c r="B44" s="8">
        <v>10</v>
      </c>
      <c r="C44" s="9" t="s">
        <v>23</v>
      </c>
      <c r="D44" s="12" t="s">
        <v>1</v>
      </c>
      <c r="E44" s="12" t="s">
        <v>28</v>
      </c>
      <c r="F44" t="s">
        <v>30</v>
      </c>
      <c r="H44" t="s">
        <v>114</v>
      </c>
      <c r="I44">
        <v>0.16623558365824226</v>
      </c>
      <c r="J44">
        <v>0.1214623804159712</v>
      </c>
      <c r="K44">
        <v>0.25905600108014981</v>
      </c>
      <c r="L44">
        <v>8.0056115971945871</v>
      </c>
      <c r="M44">
        <v>5.2645555349267008E-2</v>
      </c>
      <c r="N44">
        <v>-2.0182791093417158E-3</v>
      </c>
      <c r="O44">
        <v>1.1201189478680673</v>
      </c>
      <c r="Q44" t="s">
        <v>114</v>
      </c>
      <c r="R44">
        <v>2.8082858008821852</v>
      </c>
      <c r="S44">
        <v>18.169611649180172</v>
      </c>
      <c r="T44">
        <v>1.7671842774424793</v>
      </c>
      <c r="U44">
        <v>2.4985179309662216E-2</v>
      </c>
      <c r="V44">
        <v>4.0489013120816786</v>
      </c>
      <c r="W44">
        <v>0.17122480108879906</v>
      </c>
      <c r="X44">
        <v>4.5852828905058318E-2</v>
      </c>
      <c r="Y44">
        <v>2.3417424838043273E-2</v>
      </c>
      <c r="Z44">
        <v>0.33573204554053265</v>
      </c>
      <c r="AA44">
        <v>17.107141450586113</v>
      </c>
      <c r="AB44">
        <v>1.8936784354469025E-2</v>
      </c>
    </row>
    <row r="45" spans="1:28">
      <c r="A45" s="7">
        <v>43</v>
      </c>
      <c r="B45" s="8">
        <v>11</v>
      </c>
      <c r="C45" s="9" t="s">
        <v>23</v>
      </c>
      <c r="D45" s="12" t="s">
        <v>3</v>
      </c>
      <c r="E45" s="12" t="s">
        <v>27</v>
      </c>
      <c r="F45" t="s">
        <v>30</v>
      </c>
      <c r="H45" t="s">
        <v>115</v>
      </c>
      <c r="I45">
        <v>1.394282807273857E-2</v>
      </c>
      <c r="J45">
        <v>0.13361408751632656</v>
      </c>
      <c r="K45">
        <v>0.21359204792820133</v>
      </c>
      <c r="L45">
        <v>7.1103339230315985</v>
      </c>
      <c r="M45">
        <v>0.12319697159048125</v>
      </c>
      <c r="N45">
        <v>0.23877053611258026</v>
      </c>
      <c r="O45">
        <v>2.3873921135634686</v>
      </c>
      <c r="Q45" t="s">
        <v>115</v>
      </c>
      <c r="R45">
        <v>2.7766753879506409</v>
      </c>
      <c r="S45">
        <v>18.160130922698357</v>
      </c>
      <c r="T45">
        <v>1.8607527811669966</v>
      </c>
      <c r="U45">
        <v>0.18852941449431299</v>
      </c>
      <c r="V45">
        <v>4.320087420285831</v>
      </c>
      <c r="W45">
        <v>0.16713093151110606</v>
      </c>
      <c r="X45">
        <v>4.1958285985109763E-2</v>
      </c>
      <c r="Y45">
        <v>9.9073983621500133E-2</v>
      </c>
      <c r="Z45">
        <v>0.40717587050782095</v>
      </c>
      <c r="AA45">
        <v>16.788538636047679</v>
      </c>
      <c r="AB45">
        <v>1.834866100753102E-2</v>
      </c>
    </row>
    <row r="46" spans="1:28">
      <c r="A46" s="7">
        <v>44</v>
      </c>
      <c r="B46" s="8">
        <v>12</v>
      </c>
      <c r="C46" s="9" t="s">
        <v>23</v>
      </c>
      <c r="D46" s="12" t="s">
        <v>7</v>
      </c>
      <c r="E46" s="12" t="s">
        <v>27</v>
      </c>
      <c r="F46" t="s">
        <v>30</v>
      </c>
      <c r="H46" t="s">
        <v>116</v>
      </c>
      <c r="I46">
        <v>1.0956331796362124</v>
      </c>
      <c r="J46">
        <v>0.20151759602729147</v>
      </c>
      <c r="K46">
        <v>0.79840120345015386</v>
      </c>
      <c r="L46">
        <v>8.6172129079252322</v>
      </c>
      <c r="M46">
        <v>0.2389536358630181</v>
      </c>
      <c r="N46">
        <v>6.7157913954523961E-3</v>
      </c>
      <c r="O46">
        <v>2.1351769624983232</v>
      </c>
      <c r="Q46" t="s">
        <v>116</v>
      </c>
      <c r="R46">
        <v>2.6397191708392214</v>
      </c>
      <c r="S46">
        <v>18.070700830229701</v>
      </c>
      <c r="T46">
        <v>1.9686946120380582</v>
      </c>
      <c r="U46">
        <v>7.9475671448354851E-2</v>
      </c>
      <c r="V46">
        <v>4.8305327531182742</v>
      </c>
      <c r="W46">
        <v>0.13551780046234496</v>
      </c>
      <c r="X46">
        <v>4.7510330016342701E-2</v>
      </c>
      <c r="Y46">
        <v>0.1356353983548628</v>
      </c>
      <c r="Z46">
        <v>0.58597541752966231</v>
      </c>
      <c r="AA46">
        <v>19.509345324967093</v>
      </c>
      <c r="AB46">
        <v>2.7755553380211496E-2</v>
      </c>
    </row>
    <row r="47" spans="1:28">
      <c r="A47" s="7">
        <v>45</v>
      </c>
      <c r="B47" s="8">
        <v>13</v>
      </c>
      <c r="C47" s="9" t="s">
        <v>23</v>
      </c>
      <c r="D47" s="12" t="s">
        <v>1</v>
      </c>
      <c r="E47" s="12" t="s">
        <v>26</v>
      </c>
      <c r="F47" t="s">
        <v>30</v>
      </c>
      <c r="H47" t="s">
        <v>117</v>
      </c>
      <c r="I47">
        <v>0.19109431817812531</v>
      </c>
      <c r="J47">
        <v>0.13715655366327248</v>
      </c>
      <c r="K47">
        <v>1.0013035671475297</v>
      </c>
      <c r="L47">
        <v>7.8280393658593637</v>
      </c>
      <c r="M47">
        <v>0.16674343284024046</v>
      </c>
      <c r="N47">
        <v>7.9215832550678378E-3</v>
      </c>
      <c r="O47">
        <v>1.2695028359797593</v>
      </c>
      <c r="Q47" t="s">
        <v>117</v>
      </c>
      <c r="R47">
        <v>2.5243629718505063</v>
      </c>
      <c r="S47">
        <v>18.082909666038393</v>
      </c>
      <c r="T47">
        <v>1.7604045769215551</v>
      </c>
      <c r="U47">
        <v>4.1073627336631301E-2</v>
      </c>
      <c r="V47">
        <v>4.2637295079522284</v>
      </c>
      <c r="W47">
        <v>0.11617428750196458</v>
      </c>
      <c r="X47">
        <v>5.7066829066845112E-2</v>
      </c>
      <c r="Y47">
        <v>2.8272516866718101E-2</v>
      </c>
      <c r="Z47">
        <v>0.39980528959344264</v>
      </c>
      <c r="AA47">
        <v>17.383455695919885</v>
      </c>
      <c r="AB47">
        <v>2.0368669329123755E-2</v>
      </c>
    </row>
    <row r="48" spans="1:28">
      <c r="A48" s="7">
        <v>46</v>
      </c>
      <c r="B48" s="8">
        <v>14</v>
      </c>
      <c r="C48" s="9" t="s">
        <v>23</v>
      </c>
      <c r="D48" s="12" t="s">
        <v>5</v>
      </c>
      <c r="E48" s="12" t="s">
        <v>26</v>
      </c>
      <c r="F48" t="s">
        <v>30</v>
      </c>
      <c r="H48" t="s">
        <v>118</v>
      </c>
      <c r="I48">
        <v>0.96097458562957017</v>
      </c>
      <c r="J48">
        <v>0.23234996781816178</v>
      </c>
      <c r="K48">
        <v>0.84333399784785279</v>
      </c>
      <c r="L48">
        <v>10.039847192471505</v>
      </c>
      <c r="M48">
        <v>0.1234636779081634</v>
      </c>
      <c r="N48">
        <v>0.13232887043246019</v>
      </c>
      <c r="O48">
        <v>3.0509128605215028</v>
      </c>
      <c r="Q48" t="s">
        <v>118</v>
      </c>
      <c r="R48">
        <v>2.5040364241719812</v>
      </c>
      <c r="S48">
        <v>19.692766756101825</v>
      </c>
      <c r="T48">
        <v>1.9148425487151062</v>
      </c>
      <c r="U48">
        <v>8.7148998321403444E-3</v>
      </c>
      <c r="V48">
        <v>4.8427639059419514</v>
      </c>
      <c r="W48">
        <v>0.13510793142849903</v>
      </c>
      <c r="X48">
        <v>6.1714681723159165E-2</v>
      </c>
      <c r="Y48">
        <v>6.7540833008383122E-2</v>
      </c>
      <c r="Z48">
        <v>0.59519148304065927</v>
      </c>
      <c r="AA48">
        <v>19.491222700968681</v>
      </c>
      <c r="AB48">
        <v>2.3371713201772309E-2</v>
      </c>
    </row>
    <row r="49" spans="1:28">
      <c r="A49" s="7">
        <v>47</v>
      </c>
      <c r="B49" s="8">
        <v>15</v>
      </c>
      <c r="C49" s="9" t="s">
        <v>23</v>
      </c>
      <c r="D49" s="12" t="s">
        <v>7</v>
      </c>
      <c r="E49" s="12" t="s">
        <v>24</v>
      </c>
      <c r="F49" t="s">
        <v>30</v>
      </c>
      <c r="H49" t="s">
        <v>119</v>
      </c>
      <c r="I49">
        <v>2.6118079746256226</v>
      </c>
      <c r="J49">
        <v>0.16674967958554585</v>
      </c>
      <c r="K49">
        <v>0.66965415014694485</v>
      </c>
      <c r="L49">
        <v>8.7324955368187496</v>
      </c>
      <c r="M49">
        <v>0.24217737124733241</v>
      </c>
      <c r="N49">
        <v>1.4837506214867328E-3</v>
      </c>
      <c r="O49">
        <v>2.6879553239565226</v>
      </c>
      <c r="Q49" t="s">
        <v>119</v>
      </c>
      <c r="R49">
        <v>2.7028512750794262</v>
      </c>
      <c r="S49">
        <v>19.624846854880001</v>
      </c>
      <c r="T49">
        <v>1.9322565724696013</v>
      </c>
      <c r="U49">
        <v>4.8937145147534382E-2</v>
      </c>
      <c r="V49">
        <v>4.8280347845369791</v>
      </c>
      <c r="W49">
        <v>0.14613091127600036</v>
      </c>
      <c r="X49">
        <v>6.4205846292996374E-2</v>
      </c>
      <c r="Y49">
        <v>2.6491383874314715E-2</v>
      </c>
      <c r="Z49">
        <v>0.44621613210849592</v>
      </c>
      <c r="AA49">
        <v>19.550664701813528</v>
      </c>
      <c r="AB49">
        <v>3.0138890786675858E-2</v>
      </c>
    </row>
    <row r="50" spans="1:28">
      <c r="A50" s="7">
        <v>48</v>
      </c>
      <c r="B50" s="8">
        <v>16</v>
      </c>
      <c r="C50" s="9" t="s">
        <v>23</v>
      </c>
      <c r="D50" s="12" t="s">
        <v>3</v>
      </c>
      <c r="E50" s="12" t="s">
        <v>24</v>
      </c>
      <c r="F50" t="s">
        <v>30</v>
      </c>
      <c r="H50" t="s">
        <v>120</v>
      </c>
      <c r="I50">
        <v>0.83927261520312324</v>
      </c>
      <c r="J50">
        <v>0.11473534040362438</v>
      </c>
      <c r="K50">
        <v>1.1174322214756143</v>
      </c>
      <c r="L50">
        <v>8.046656374366961</v>
      </c>
      <c r="M50">
        <v>0.11644267702250218</v>
      </c>
      <c r="N50">
        <v>4.2546784382100085E-2</v>
      </c>
      <c r="O50">
        <v>1.4857702105621522</v>
      </c>
      <c r="Q50" t="s">
        <v>120</v>
      </c>
      <c r="R50">
        <v>2.5722923964430207</v>
      </c>
      <c r="S50">
        <v>19.017613127244768</v>
      </c>
      <c r="T50">
        <v>1.9457670288145688</v>
      </c>
      <c r="U50">
        <v>2.0599417754595829E-2</v>
      </c>
      <c r="V50">
        <v>4.8192137053852884</v>
      </c>
      <c r="W50">
        <v>0.10969004316525544</v>
      </c>
      <c r="X50">
        <v>5.942007274667066E-2</v>
      </c>
      <c r="Y50">
        <v>3.2350698287356934E-2</v>
      </c>
      <c r="Z50">
        <v>0.36752723210414595</v>
      </c>
      <c r="AA50">
        <v>20.747079073695531</v>
      </c>
      <c r="AB50">
        <v>2.1753552196155383E-2</v>
      </c>
    </row>
    <row r="51" spans="1:28">
      <c r="A51" s="7">
        <v>49</v>
      </c>
      <c r="B51" s="8">
        <v>1</v>
      </c>
      <c r="C51" s="9" t="s">
        <v>29</v>
      </c>
      <c r="D51" s="12" t="s">
        <v>1</v>
      </c>
      <c r="E51" s="12" t="s">
        <v>24</v>
      </c>
      <c r="F51" t="s">
        <v>30</v>
      </c>
      <c r="H51" t="s">
        <v>121</v>
      </c>
      <c r="I51">
        <v>0.842231926327354</v>
      </c>
      <c r="J51">
        <v>0.10275388282317431</v>
      </c>
      <c r="K51">
        <v>0.3725623689643946</v>
      </c>
      <c r="L51">
        <v>7.7692318835611571</v>
      </c>
      <c r="M51">
        <v>1.4786567476899758E-2</v>
      </c>
      <c r="N51">
        <v>0.33893430553448717</v>
      </c>
      <c r="O51">
        <v>1.6888246051403082</v>
      </c>
      <c r="Q51" t="s">
        <v>121</v>
      </c>
      <c r="R51">
        <v>2.5707431978745885</v>
      </c>
      <c r="S51">
        <v>17.116836221732928</v>
      </c>
      <c r="T51">
        <v>2.0201629942119212</v>
      </c>
      <c r="U51">
        <v>5.9401068739115624E-2</v>
      </c>
      <c r="V51">
        <v>4.4496333388415135</v>
      </c>
      <c r="W51">
        <v>5.6733205305540643E-2</v>
      </c>
      <c r="X51">
        <v>6.6976769428529037E-2</v>
      </c>
      <c r="Y51">
        <v>2.4118513319918607E-2</v>
      </c>
      <c r="Z51">
        <v>0.33206298064135326</v>
      </c>
      <c r="AA51">
        <v>13.761111348005798</v>
      </c>
      <c r="AB51">
        <v>2.0883780571572544E-2</v>
      </c>
    </row>
    <row r="52" spans="1:28">
      <c r="A52" s="7">
        <v>50</v>
      </c>
      <c r="B52" s="8">
        <v>2</v>
      </c>
      <c r="C52" s="9" t="s">
        <v>29</v>
      </c>
      <c r="D52" s="12" t="s">
        <v>5</v>
      </c>
      <c r="E52" s="12" t="s">
        <v>24</v>
      </c>
      <c r="F52" t="s">
        <v>30</v>
      </c>
      <c r="H52" t="s">
        <v>122</v>
      </c>
      <c r="I52">
        <v>-3.6920981681194134E-2</v>
      </c>
      <c r="J52">
        <v>0.11153326573375438</v>
      </c>
      <c r="K52">
        <v>0.15965206767827786</v>
      </c>
      <c r="L52">
        <v>8.1746064825494731</v>
      </c>
      <c r="M52">
        <v>-1.6451947093385804E-2</v>
      </c>
      <c r="N52">
        <v>-3.0472556203977492E-3</v>
      </c>
      <c r="O52">
        <v>1.0459116127149164</v>
      </c>
      <c r="Q52" t="s">
        <v>122</v>
      </c>
      <c r="R52">
        <v>2.8411508093431315</v>
      </c>
      <c r="S52">
        <v>17.136782282337983</v>
      </c>
      <c r="T52">
        <v>1.8903135871576711</v>
      </c>
      <c r="U52">
        <v>6.4588942568238161E-2</v>
      </c>
      <c r="V52">
        <v>4.4443433257707792</v>
      </c>
      <c r="W52">
        <v>5.6289841751561195E-2</v>
      </c>
      <c r="X52">
        <v>6.7678691073787975E-2</v>
      </c>
      <c r="Y52">
        <v>5.5355067398319587E-2</v>
      </c>
      <c r="Z52">
        <v>0.33927934425909706</v>
      </c>
      <c r="AA52">
        <v>14.602595420331516</v>
      </c>
      <c r="AB52">
        <v>2.6084371174688807E-2</v>
      </c>
    </row>
    <row r="53" spans="1:28">
      <c r="A53" s="7">
        <v>51</v>
      </c>
      <c r="B53" s="8">
        <v>3</v>
      </c>
      <c r="C53" s="9" t="s">
        <v>29</v>
      </c>
      <c r="D53" s="12" t="s">
        <v>3</v>
      </c>
      <c r="E53" s="12" t="s">
        <v>26</v>
      </c>
      <c r="F53" t="s">
        <v>30</v>
      </c>
      <c r="H53" t="s">
        <v>123</v>
      </c>
      <c r="I53">
        <v>0.33555757573865691</v>
      </c>
      <c r="J53">
        <v>0.11644704565788994</v>
      </c>
      <c r="K53">
        <v>0.34814629565432281</v>
      </c>
      <c r="L53">
        <v>7.8805653206075963</v>
      </c>
      <c r="M53">
        <v>7.6430103621509787E-2</v>
      </c>
      <c r="N53">
        <v>1.7116550224687203E-4</v>
      </c>
      <c r="O53">
        <v>1.2201047424343094</v>
      </c>
      <c r="Q53" t="s">
        <v>123</v>
      </c>
      <c r="R53">
        <v>2.9773156508259837</v>
      </c>
      <c r="S53">
        <v>17.777584701891577</v>
      </c>
      <c r="T53">
        <v>2.029021352613023</v>
      </c>
      <c r="U53">
        <v>3.4621106323692606E-2</v>
      </c>
      <c r="V53">
        <v>4.362423041455922</v>
      </c>
      <c r="W53">
        <v>6.4991075415946148E-2</v>
      </c>
      <c r="X53">
        <v>6.7992438235605246E-2</v>
      </c>
      <c r="Y53">
        <v>4.1420106927209738E-2</v>
      </c>
      <c r="Z53">
        <v>0.38134867531099448</v>
      </c>
      <c r="AA53">
        <v>14.870403254988618</v>
      </c>
      <c r="AB53">
        <v>2.2843264201780313E-2</v>
      </c>
    </row>
    <row r="54" spans="1:28">
      <c r="A54" s="7">
        <v>52</v>
      </c>
      <c r="B54" s="8">
        <v>4</v>
      </c>
      <c r="C54" s="9" t="s">
        <v>29</v>
      </c>
      <c r="D54" s="12" t="s">
        <v>7</v>
      </c>
      <c r="E54" s="12" t="s">
        <v>26</v>
      </c>
      <c r="F54" t="s">
        <v>30</v>
      </c>
      <c r="H54" t="s">
        <v>124</v>
      </c>
      <c r="I54">
        <v>12.739001228634228</v>
      </c>
      <c r="J54">
        <v>0.19978330698066374</v>
      </c>
      <c r="K54">
        <v>2.6833519942175514</v>
      </c>
      <c r="L54">
        <v>7.9215413750457584</v>
      </c>
      <c r="M54">
        <v>0.14689667022253666</v>
      </c>
      <c r="N54">
        <v>3.5232257245234552E-3</v>
      </c>
      <c r="O54">
        <v>2.0023135180443434</v>
      </c>
      <c r="Q54" t="s">
        <v>124</v>
      </c>
      <c r="R54">
        <v>2.5490542803387291</v>
      </c>
      <c r="S54">
        <v>16.732357599296058</v>
      </c>
      <c r="T54">
        <v>2.0247425397500711</v>
      </c>
      <c r="U54">
        <v>6.9573613262540634E-2</v>
      </c>
      <c r="V54">
        <v>4.6370186059041201</v>
      </c>
      <c r="W54">
        <v>7.7175058351977355E-2</v>
      </c>
      <c r="X54">
        <v>7.900327174426823E-2</v>
      </c>
      <c r="Y54">
        <v>2.5681081442310578E-2</v>
      </c>
      <c r="Z54">
        <v>0.50333853027554964</v>
      </c>
      <c r="AA54">
        <v>17.643743695262284</v>
      </c>
      <c r="AB54">
        <v>2.2229715958427421E-2</v>
      </c>
    </row>
    <row r="55" spans="1:28">
      <c r="A55" s="7">
        <v>53</v>
      </c>
      <c r="B55" s="8">
        <v>5</v>
      </c>
      <c r="C55" s="9" t="s">
        <v>29</v>
      </c>
      <c r="D55" s="12" t="s">
        <v>5</v>
      </c>
      <c r="E55" s="12" t="s">
        <v>27</v>
      </c>
      <c r="F55" t="s">
        <v>30</v>
      </c>
      <c r="H55" t="s">
        <v>125</v>
      </c>
      <c r="I55">
        <v>0.65406550375957484</v>
      </c>
      <c r="J55">
        <v>0.19528362147043435</v>
      </c>
      <c r="K55">
        <v>0.41482605877132372</v>
      </c>
      <c r="L55">
        <v>10.369802297424718</v>
      </c>
      <c r="M55">
        <v>5.3773168220165998E-3</v>
      </c>
      <c r="N55">
        <v>3.9297632731582219E-3</v>
      </c>
      <c r="O55">
        <v>2.7721124991161834</v>
      </c>
      <c r="Q55" t="s">
        <v>125</v>
      </c>
      <c r="R55">
        <v>2.5630842266157656</v>
      </c>
      <c r="S55">
        <v>16.012251916642828</v>
      </c>
      <c r="T55">
        <v>1.9514223202340695</v>
      </c>
      <c r="U55">
        <v>0.19745920445970769</v>
      </c>
      <c r="V55">
        <v>4.3952183954422104</v>
      </c>
      <c r="W55">
        <v>6.2007162922925026E-2</v>
      </c>
      <c r="X55">
        <v>7.2564330509461455E-2</v>
      </c>
      <c r="Y55">
        <v>2.3688947816783799E-2</v>
      </c>
      <c r="Z55">
        <v>0.57127621284867125</v>
      </c>
      <c r="AA55">
        <v>17.331606048664199</v>
      </c>
      <c r="AB55">
        <v>2.5358888003201348E-2</v>
      </c>
    </row>
    <row r="56" spans="1:28">
      <c r="A56" s="7">
        <v>54</v>
      </c>
      <c r="B56" s="8">
        <v>6</v>
      </c>
      <c r="C56" s="9" t="s">
        <v>29</v>
      </c>
      <c r="D56" s="12" t="s">
        <v>1</v>
      </c>
      <c r="E56" s="12" t="s">
        <v>27</v>
      </c>
      <c r="F56" t="s">
        <v>30</v>
      </c>
      <c r="H56" t="s">
        <v>126</v>
      </c>
      <c r="I56">
        <v>0.31751200717557582</v>
      </c>
      <c r="J56">
        <v>0.12979678300054814</v>
      </c>
      <c r="K56">
        <v>0.23854947633955589</v>
      </c>
      <c r="L56">
        <v>8.7991152918723365</v>
      </c>
      <c r="M56">
        <v>1.0863404474587735</v>
      </c>
      <c r="N56">
        <v>4.1024188753582425E-3</v>
      </c>
      <c r="O56">
        <v>2.0459635098325375</v>
      </c>
      <c r="Q56" t="s">
        <v>126</v>
      </c>
      <c r="R56">
        <v>2.901061862316948</v>
      </c>
      <c r="S56">
        <v>19.406514283028105</v>
      </c>
      <c r="T56">
        <v>2.0507511308416229</v>
      </c>
      <c r="U56">
        <v>0.13567953481479025</v>
      </c>
      <c r="V56">
        <v>4.7001095680649554</v>
      </c>
      <c r="W56">
        <v>7.8343177766070027E-2</v>
      </c>
      <c r="X56">
        <v>8.53821294209587E-2</v>
      </c>
      <c r="Y56">
        <v>2.7659619817387484E-2</v>
      </c>
      <c r="Z56">
        <v>0.36706477013451055</v>
      </c>
      <c r="AA56">
        <v>16.36904303239454</v>
      </c>
      <c r="AB56">
        <v>3.1568020864649542E-2</v>
      </c>
    </row>
    <row r="57" spans="1:28">
      <c r="A57" s="7">
        <v>55</v>
      </c>
      <c r="B57" s="8">
        <v>7</v>
      </c>
      <c r="C57" s="9" t="s">
        <v>29</v>
      </c>
      <c r="D57" s="12" t="s">
        <v>7</v>
      </c>
      <c r="E57" s="12" t="s">
        <v>28</v>
      </c>
      <c r="F57" t="s">
        <v>30</v>
      </c>
      <c r="H57" t="s">
        <v>127</v>
      </c>
      <c r="I57">
        <v>0.1524994992894009</v>
      </c>
      <c r="J57">
        <v>0.13634306456710088</v>
      </c>
      <c r="K57">
        <v>0.24901840483807688</v>
      </c>
      <c r="L57">
        <v>13.433697540034911</v>
      </c>
      <c r="M57">
        <v>3.6087544427176974</v>
      </c>
      <c r="N57">
        <v>3.4464224367893714E-3</v>
      </c>
      <c r="O57">
        <v>1.8593680825905208</v>
      </c>
      <c r="Q57" t="s">
        <v>127</v>
      </c>
      <c r="R57">
        <v>2.4803226940064214</v>
      </c>
      <c r="S57">
        <v>16.522978210894355</v>
      </c>
      <c r="T57">
        <v>2.1191196019604108</v>
      </c>
      <c r="U57">
        <v>0.21417785521745697</v>
      </c>
      <c r="V57">
        <v>4.027730748273374</v>
      </c>
      <c r="W57">
        <v>6.4975908449383626E-2</v>
      </c>
      <c r="X57">
        <v>6.0251188285153225E-2</v>
      </c>
      <c r="Y57">
        <v>1.991557115184573E-2</v>
      </c>
      <c r="Z57">
        <v>0.42745288133093245</v>
      </c>
      <c r="AA57">
        <v>16.812638142515876</v>
      </c>
      <c r="AB57">
        <v>3.0544644412271511E-2</v>
      </c>
    </row>
    <row r="58" spans="1:28">
      <c r="A58" s="7">
        <v>56</v>
      </c>
      <c r="B58" s="8">
        <v>8</v>
      </c>
      <c r="C58" s="9" t="s">
        <v>29</v>
      </c>
      <c r="D58" s="12" t="s">
        <v>3</v>
      </c>
      <c r="E58" s="12" t="s">
        <v>28</v>
      </c>
      <c r="F58" t="s">
        <v>30</v>
      </c>
      <c r="H58" t="s">
        <v>128</v>
      </c>
      <c r="I58">
        <v>0.21290292652662207</v>
      </c>
      <c r="J58">
        <v>0.10980381497936285</v>
      </c>
      <c r="K58">
        <v>0.30084238125606572</v>
      </c>
      <c r="L58">
        <v>8.2630159297085406</v>
      </c>
      <c r="M58">
        <v>13.946345205533154</v>
      </c>
      <c r="N58">
        <v>2.9187710302724756E-3</v>
      </c>
      <c r="O58">
        <v>3.8620937116427054</v>
      </c>
      <c r="Q58" t="s">
        <v>128</v>
      </c>
      <c r="R58">
        <v>2.7136089039130518</v>
      </c>
      <c r="S58">
        <v>14.895229881389691</v>
      </c>
      <c r="T58">
        <v>2.1043513231587294</v>
      </c>
      <c r="U58">
        <v>6.2313703657243869E-2</v>
      </c>
      <c r="V58">
        <v>4.2599967273961612</v>
      </c>
      <c r="W58">
        <v>6.8496156658477164E-2</v>
      </c>
      <c r="X58">
        <v>5.5150115254757097E-2</v>
      </c>
      <c r="Y58">
        <v>3.842066314045086E-2</v>
      </c>
      <c r="Z58">
        <v>0.30154050744202276</v>
      </c>
      <c r="AA58">
        <v>14.587273244989278</v>
      </c>
      <c r="AB58">
        <v>2.8627100230663921E-2</v>
      </c>
    </row>
    <row r="59" spans="1:28">
      <c r="A59" s="7">
        <v>57</v>
      </c>
      <c r="B59" s="8">
        <v>9</v>
      </c>
      <c r="C59" s="9" t="s">
        <v>29</v>
      </c>
      <c r="D59" s="12" t="s">
        <v>5</v>
      </c>
      <c r="E59" s="12" t="s">
        <v>28</v>
      </c>
      <c r="F59" t="s">
        <v>30</v>
      </c>
      <c r="H59" t="s">
        <v>129</v>
      </c>
      <c r="I59">
        <v>1.8056783122629794</v>
      </c>
      <c r="J59">
        <v>0.13690354329160126</v>
      </c>
      <c r="K59">
        <v>0.79734330333851022</v>
      </c>
      <c r="L59">
        <v>7.910357724795178</v>
      </c>
      <c r="M59">
        <v>0.45492358630509394</v>
      </c>
      <c r="N59">
        <v>-4.2549414072719886E-3</v>
      </c>
      <c r="O59">
        <v>1.0614059653932606</v>
      </c>
      <c r="Q59" t="s">
        <v>129</v>
      </c>
      <c r="R59">
        <v>2.3591611343606482</v>
      </c>
      <c r="S59">
        <v>16.27654304379778</v>
      </c>
      <c r="T59">
        <v>1.7130454370109101</v>
      </c>
      <c r="U59">
        <v>0.41062216306035987</v>
      </c>
      <c r="V59">
        <v>4.0154726241468497</v>
      </c>
      <c r="W59">
        <v>6.8356897412673562E-2</v>
      </c>
      <c r="X59">
        <v>5.9042577492615871E-2</v>
      </c>
      <c r="Y59">
        <v>2.7003022808423441E-2</v>
      </c>
      <c r="Z59">
        <v>0.32504461460478706</v>
      </c>
      <c r="AA59">
        <v>13.725542648395328</v>
      </c>
      <c r="AB59">
        <v>2.6083401424067107E-2</v>
      </c>
    </row>
    <row r="60" spans="1:28">
      <c r="A60" s="7">
        <v>58</v>
      </c>
      <c r="B60" s="8">
        <v>10</v>
      </c>
      <c r="C60" s="9" t="s">
        <v>29</v>
      </c>
      <c r="D60" s="12" t="s">
        <v>1</v>
      </c>
      <c r="E60" s="12" t="s">
        <v>28</v>
      </c>
      <c r="F60" t="s">
        <v>30</v>
      </c>
      <c r="H60" t="s">
        <v>130</v>
      </c>
      <c r="I60">
        <v>1.0453145579437697</v>
      </c>
      <c r="J60">
        <v>0.12275281849245315</v>
      </c>
      <c r="K60">
        <v>0.68999651372014237</v>
      </c>
      <c r="L60">
        <v>7.8652092217468139</v>
      </c>
      <c r="M60">
        <v>0.16410891384334939</v>
      </c>
      <c r="N60">
        <v>-1.6826280139922193E-3</v>
      </c>
      <c r="O60">
        <v>1.2276622600648326</v>
      </c>
      <c r="Q60" t="s">
        <v>130</v>
      </c>
      <c r="R60">
        <v>2.6261379157429987</v>
      </c>
      <c r="S60">
        <v>15.689493077119426</v>
      </c>
      <c r="T60">
        <v>1.8972874950899448</v>
      </c>
      <c r="U60">
        <v>0.23155656228075602</v>
      </c>
      <c r="V60">
        <v>3.9795577624074205</v>
      </c>
      <c r="W60">
        <v>6.951871489180618E-2</v>
      </c>
      <c r="X60">
        <v>5.8517431652754796E-2</v>
      </c>
      <c r="Y60">
        <v>4.0051753368645887E-2</v>
      </c>
      <c r="Z60">
        <v>0.34270262554354247</v>
      </c>
      <c r="AA60">
        <v>14.849766839390796</v>
      </c>
      <c r="AB60">
        <v>2.9442021319160835E-2</v>
      </c>
    </row>
    <row r="61" spans="1:28">
      <c r="A61" s="7">
        <v>59</v>
      </c>
      <c r="B61" s="8">
        <v>11</v>
      </c>
      <c r="C61" s="9" t="s">
        <v>29</v>
      </c>
      <c r="D61" s="12" t="s">
        <v>3</v>
      </c>
      <c r="E61" s="12" t="s">
        <v>27</v>
      </c>
      <c r="F61" t="s">
        <v>30</v>
      </c>
      <c r="H61" t="s">
        <v>131</v>
      </c>
      <c r="I61">
        <v>3.0043900281443551E-2</v>
      </c>
      <c r="J61">
        <v>0.10939460193886054</v>
      </c>
      <c r="K61">
        <v>0.17794518671401718</v>
      </c>
      <c r="L61">
        <v>8.363861776290868</v>
      </c>
      <c r="M61">
        <v>7.0979269783332882E-2</v>
      </c>
      <c r="N61">
        <v>-2.4457055405003531E-3</v>
      </c>
      <c r="O61">
        <v>1.1559923957208844</v>
      </c>
      <c r="Q61" t="s">
        <v>131</v>
      </c>
      <c r="R61">
        <v>2.6764537201052852</v>
      </c>
      <c r="S61">
        <v>16.333701027820304</v>
      </c>
      <c r="T61">
        <v>2.0609525051062336</v>
      </c>
      <c r="U61">
        <v>4.4274827579891152E-2</v>
      </c>
      <c r="V61">
        <v>4.6410870012077501</v>
      </c>
      <c r="W61">
        <v>7.9610337194224057E-2</v>
      </c>
      <c r="X61">
        <v>7.0842161060076056E-2</v>
      </c>
      <c r="Y61">
        <v>2.4878175766894321E-2</v>
      </c>
      <c r="Z61">
        <v>0.34154504447360567</v>
      </c>
      <c r="AA61">
        <v>16.200958182111105</v>
      </c>
      <c r="AB61">
        <v>3.1459000924538662E-2</v>
      </c>
    </row>
    <row r="62" spans="1:28">
      <c r="A62" s="7">
        <v>60</v>
      </c>
      <c r="B62" s="8">
        <v>12</v>
      </c>
      <c r="C62" s="9" t="s">
        <v>29</v>
      </c>
      <c r="D62" s="12" t="s">
        <v>7</v>
      </c>
      <c r="E62" s="12" t="s">
        <v>27</v>
      </c>
      <c r="F62" t="s">
        <v>30</v>
      </c>
      <c r="H62" t="s">
        <v>132</v>
      </c>
      <c r="I62">
        <v>0.18270560252708593</v>
      </c>
      <c r="J62">
        <v>0.11582329014978483</v>
      </c>
      <c r="K62">
        <v>0.18944621155470989</v>
      </c>
      <c r="L62">
        <v>6.9070037669290265</v>
      </c>
      <c r="M62">
        <v>6.8760258563795557E-2</v>
      </c>
      <c r="N62">
        <v>-6.6501679991016083E-4</v>
      </c>
      <c r="O62">
        <v>1.0129735626407848</v>
      </c>
      <c r="Q62" t="s">
        <v>132</v>
      </c>
      <c r="R62">
        <v>2.3098947650271433</v>
      </c>
      <c r="S62">
        <v>14.968876968456664</v>
      </c>
      <c r="T62">
        <v>1.7746631510681659</v>
      </c>
      <c r="U62">
        <v>5.2211788414590905E-2</v>
      </c>
      <c r="V62">
        <v>3.9645305930772587</v>
      </c>
      <c r="W62">
        <v>6.0678143428984033E-2</v>
      </c>
      <c r="X62">
        <v>6.2191312658313916E-2</v>
      </c>
      <c r="Y62">
        <v>3.0490336616991385E-2</v>
      </c>
      <c r="Z62">
        <v>0.33847301174041378</v>
      </c>
      <c r="AA62">
        <v>12.461799572355073</v>
      </c>
      <c r="AB62">
        <v>2.3630590207897515E-2</v>
      </c>
    </row>
    <row r="63" spans="1:28">
      <c r="A63" s="7">
        <v>61</v>
      </c>
      <c r="B63" s="8">
        <v>13</v>
      </c>
      <c r="C63" s="9" t="s">
        <v>29</v>
      </c>
      <c r="D63" s="12" t="s">
        <v>1</v>
      </c>
      <c r="E63" s="12" t="s">
        <v>26</v>
      </c>
      <c r="F63" t="s">
        <v>30</v>
      </c>
      <c r="H63" t="s">
        <v>133</v>
      </c>
      <c r="I63">
        <v>0.5771400694898573</v>
      </c>
      <c r="J63">
        <v>0.14512057580502516</v>
      </c>
      <c r="K63">
        <v>0.33908134755153541</v>
      </c>
      <c r="L63">
        <v>8.2499097638626928</v>
      </c>
      <c r="M63">
        <v>0.35692949780357902</v>
      </c>
      <c r="N63">
        <v>-1.0918256420804804E-3</v>
      </c>
      <c r="O63">
        <v>4.1860972595289905</v>
      </c>
      <c r="Q63" t="s">
        <v>133</v>
      </c>
      <c r="R63">
        <v>2.5042681213471454</v>
      </c>
      <c r="S63">
        <v>15.973338372418967</v>
      </c>
      <c r="T63">
        <v>1.9366908537756291</v>
      </c>
      <c r="U63">
        <v>0.24236036277521428</v>
      </c>
      <c r="V63">
        <v>4.2535008233971769</v>
      </c>
      <c r="W63">
        <v>5.6762130360164476E-2</v>
      </c>
      <c r="X63">
        <v>7.7865115887886888E-2</v>
      </c>
      <c r="Y63">
        <v>2.9195727402257815E-2</v>
      </c>
      <c r="Z63">
        <v>0.362068684604194</v>
      </c>
      <c r="AA63">
        <v>13.669045449208065</v>
      </c>
      <c r="AB63">
        <v>2.8416619988316624E-2</v>
      </c>
    </row>
    <row r="64" spans="1:28">
      <c r="A64" s="7">
        <v>62</v>
      </c>
      <c r="B64" s="8">
        <v>14</v>
      </c>
      <c r="C64" s="9" t="s">
        <v>29</v>
      </c>
      <c r="D64" s="12" t="s">
        <v>5</v>
      </c>
      <c r="E64" s="12" t="s">
        <v>26</v>
      </c>
      <c r="F64" t="s">
        <v>30</v>
      </c>
      <c r="H64" t="s">
        <v>134</v>
      </c>
      <c r="I64">
        <v>-0.10745990540785538</v>
      </c>
      <c r="J64">
        <v>0.17862668180076782</v>
      </c>
      <c r="K64">
        <v>9.0550827631385972E-2</v>
      </c>
      <c r="L64">
        <v>7.9677258089476171</v>
      </c>
      <c r="M64">
        <v>0.21015477015794154</v>
      </c>
      <c r="N64">
        <v>9.5731238871014437E-3</v>
      </c>
      <c r="O64">
        <v>1.4344145526422902</v>
      </c>
      <c r="Q64" t="s">
        <v>134</v>
      </c>
      <c r="R64">
        <v>2.6620392747156676</v>
      </c>
      <c r="S64">
        <v>18.289353502452201</v>
      </c>
      <c r="T64">
        <v>1.7795668890773071</v>
      </c>
      <c r="U64">
        <v>0.11729973936434855</v>
      </c>
      <c r="V64">
        <v>4.5321894960753095</v>
      </c>
      <c r="W64">
        <v>6.2317178451608383E-2</v>
      </c>
      <c r="X64">
        <v>9.0423029249684872E-2</v>
      </c>
      <c r="Y64">
        <v>5.4593950293258496E-2</v>
      </c>
      <c r="Z64">
        <v>0.40632824537018797</v>
      </c>
      <c r="AA64">
        <v>14.447734810314969</v>
      </c>
      <c r="AB64">
        <v>2.7560429994757177E-2</v>
      </c>
    </row>
    <row r="65" spans="1:28">
      <c r="A65" s="7">
        <v>63</v>
      </c>
      <c r="B65" s="8">
        <v>15</v>
      </c>
      <c r="C65" s="9" t="s">
        <v>29</v>
      </c>
      <c r="D65" s="12" t="s">
        <v>7</v>
      </c>
      <c r="E65" s="12" t="s">
        <v>24</v>
      </c>
      <c r="F65" t="s">
        <v>30</v>
      </c>
      <c r="H65" t="s">
        <v>135</v>
      </c>
      <c r="I65">
        <v>0.50524095585937567</v>
      </c>
      <c r="J65">
        <v>0.10821205839881615</v>
      </c>
      <c r="K65">
        <v>0.23781998399022986</v>
      </c>
      <c r="L65">
        <v>8.6036275137959954</v>
      </c>
      <c r="M65">
        <v>1.7368692471076339</v>
      </c>
      <c r="N65">
        <v>6.4728297188425793E-2</v>
      </c>
      <c r="O65">
        <v>1.3258532579625937</v>
      </c>
      <c r="Q65" t="s">
        <v>135</v>
      </c>
      <c r="R65">
        <v>2.8445726903772948</v>
      </c>
      <c r="S65">
        <v>18.492009575628234</v>
      </c>
      <c r="T65">
        <v>1.9155903477602849</v>
      </c>
      <c r="U65">
        <v>5.6073891142083367E-2</v>
      </c>
      <c r="V65">
        <v>3.9054575136370024</v>
      </c>
      <c r="W65">
        <v>5.6216100069889911E-2</v>
      </c>
      <c r="X65">
        <v>7.5767088170304822E-2</v>
      </c>
      <c r="Y65">
        <v>4.4395983755427339E-2</v>
      </c>
      <c r="Z65">
        <v>0.30930224183006283</v>
      </c>
      <c r="AA65">
        <v>14.511076390456694</v>
      </c>
      <c r="AB65">
        <v>2.6307287068227259E-2</v>
      </c>
    </row>
    <row r="66" spans="1:28">
      <c r="A66" s="7">
        <v>64</v>
      </c>
      <c r="B66" s="8">
        <v>16</v>
      </c>
      <c r="C66" s="9" t="s">
        <v>29</v>
      </c>
      <c r="D66" s="12" t="s">
        <v>3</v>
      </c>
      <c r="E66" s="12" t="s">
        <v>24</v>
      </c>
      <c r="F66" t="s">
        <v>30</v>
      </c>
      <c r="H66" t="s">
        <v>136</v>
      </c>
      <c r="I66">
        <v>1.6797211974180666E-2</v>
      </c>
      <c r="J66">
        <v>8.6493792466890568E-2</v>
      </c>
      <c r="K66">
        <v>0.52260150781028458</v>
      </c>
      <c r="L66">
        <v>7.5131435525391401</v>
      </c>
      <c r="M66">
        <v>3.9111326848648171</v>
      </c>
      <c r="N66">
        <v>4.9984615266495964E-3</v>
      </c>
      <c r="O66">
        <v>0.68762081802850517</v>
      </c>
      <c r="Q66" t="s">
        <v>136</v>
      </c>
      <c r="R66">
        <v>2.275064447290045</v>
      </c>
      <c r="S66">
        <v>15.629487135484627</v>
      </c>
      <c r="T66">
        <v>1.7971595313521795</v>
      </c>
      <c r="U66">
        <v>0.34189637916802879</v>
      </c>
      <c r="V66">
        <v>4.2453360256529411</v>
      </c>
      <c r="W66">
        <v>4.0909287331491052E-2</v>
      </c>
      <c r="X66">
        <v>6.2827757555324992E-2</v>
      </c>
      <c r="Y66">
        <v>3.9953110704620313E-2</v>
      </c>
      <c r="Z66">
        <v>0.24877048265298576</v>
      </c>
      <c r="AA66">
        <v>14.146489899382841</v>
      </c>
      <c r="AB66">
        <v>2.5544738860771223E-2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5500F6A16FD64C9D4F4E423018CF93" ma:contentTypeVersion="9" ma:contentTypeDescription="Create a new document." ma:contentTypeScope="" ma:versionID="81152291ca9f03ce1279c2bb790e8f33">
  <xsd:schema xmlns:xsd="http://www.w3.org/2001/XMLSchema" xmlns:xs="http://www.w3.org/2001/XMLSchema" xmlns:p="http://schemas.microsoft.com/office/2006/metadata/properties" xmlns:ns2="95c01ff0-70bc-4f44-a2de-2bde6a9d5bad" xmlns:ns3="ff137078-e90e-47d0-980e-c7e2ec898b8b" targetNamespace="http://schemas.microsoft.com/office/2006/metadata/properties" ma:root="true" ma:fieldsID="071fb82854a3a544faf26e4ee5a8df5a" ns2:_="" ns3:_="">
    <xsd:import namespace="95c01ff0-70bc-4f44-a2de-2bde6a9d5bad"/>
    <xsd:import namespace="ff137078-e90e-47d0-980e-c7e2ec898b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01ff0-70bc-4f44-a2de-2bde6a9d5b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3b0b881-3bf5-4493-8d21-dd6cf614d6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37078-e90e-47d0-980e-c7e2ec898b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70cbdc3-3477-4dbb-a727-ed67127719a9}" ma:internalName="TaxCatchAll" ma:showField="CatchAllData" ma:web="ff137078-e90e-47d0-980e-c7e2ec898b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c01ff0-70bc-4f44-a2de-2bde6a9d5bad">
      <Terms xmlns="http://schemas.microsoft.com/office/infopath/2007/PartnerControls"/>
    </lcf76f155ced4ddcb4097134ff3c332f>
    <TaxCatchAll xmlns="ff137078-e90e-47d0-980e-c7e2ec898b8b" xsi:nil="true"/>
  </documentManagement>
</p:properties>
</file>

<file path=customXml/itemProps1.xml><?xml version="1.0" encoding="utf-8"?>
<ds:datastoreItem xmlns:ds="http://schemas.openxmlformats.org/officeDocument/2006/customXml" ds:itemID="{0A92C08C-8ECE-46EC-BC02-D846A36D4889}"/>
</file>

<file path=customXml/itemProps2.xml><?xml version="1.0" encoding="utf-8"?>
<ds:datastoreItem xmlns:ds="http://schemas.openxmlformats.org/officeDocument/2006/customXml" ds:itemID="{BA2DF467-E020-41E8-B068-DBF7CE7888BF}"/>
</file>

<file path=customXml/itemProps3.xml><?xml version="1.0" encoding="utf-8"?>
<ds:datastoreItem xmlns:ds="http://schemas.openxmlformats.org/officeDocument/2006/customXml" ds:itemID="{D63A5947-7823-44D3-870D-20AC5105B2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2026-09-03T10:14:31Z</dcterms:created>
  <dcterms:modified xsi:type="dcterms:W3CDTF">2026-09-07T09:43:12Z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0x010100585500F6A16FD64C9D4F4E423018CF93</vt:lpwstr>
  </property>
</Properties>
</file>