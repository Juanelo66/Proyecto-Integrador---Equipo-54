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barcelona-my.sharepoint.com/personal/marinaperez_ub_edu/Documents/HORTBIOSOL/PROJECTES/HORTBIOSOL/Strawberry 2023/Data/"/>
    </mc:Choice>
  </mc:AlternateContent>
  <xr:revisionPtr revIDLastSave="0" documentId="14_{EA5AC08D-9B2F-486F-81C0-FAF61B01AA61}" xr6:coauthVersionLast="47" xr6:coauthVersionMax="47" xr10:uidLastSave="{00000000-0000-0000-0000-000000000000}"/>
  <bookViews>
    <workbookView xWindow="0" yWindow="0" windowWidth="14370" windowHeight="3930" firstSheet="1" activeTab="1" xr2:uid="{C9F08DEF-CCF0-43F5-A576-BD8D8119B8B3}"/>
  </bookViews>
  <sheets>
    <sheet name="Hoja2" sheetId="2" r:id="rId1"/>
    <sheet name="Hoja3" sheetId="3" r:id="rId2"/>
    <sheet name="Weight extracts Vit C" sheetId="6" r:id="rId3"/>
    <sheet name="Weight extracts antho 2" sheetId="7" r:id="rId4"/>
    <sheet name="FWDW" sheetId="5" r:id="rId5"/>
    <sheet name="data_quality" sheetId="8" r:id="rId6"/>
    <sheet name="Hoja1" sheetId="12" r:id="rId7"/>
    <sheet name="all_data" sheetId="9" r:id="rId8"/>
    <sheet name="data_FAMD" sheetId="11" r:id="rId9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3" i="3" l="1"/>
  <c r="K4" i="3" l="1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6" i="3"/>
  <c r="K27" i="3"/>
  <c r="K28" i="3"/>
  <c r="K29" i="3"/>
  <c r="K30" i="3"/>
  <c r="K31" i="3"/>
  <c r="K32" i="3"/>
  <c r="K33" i="3"/>
  <c r="K34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6" i="3"/>
  <c r="J27" i="3"/>
  <c r="J28" i="3"/>
  <c r="J29" i="3"/>
  <c r="J30" i="3"/>
  <c r="J31" i="3"/>
  <c r="J32" i="3"/>
  <c r="J33" i="3"/>
  <c r="J34" i="3"/>
  <c r="J3" i="3"/>
  <c r="H17" i="5" l="1"/>
  <c r="H4" i="5"/>
  <c r="H5" i="5"/>
  <c r="H6" i="5"/>
  <c r="H7" i="5"/>
  <c r="H8" i="5"/>
  <c r="H9" i="5"/>
  <c r="H10" i="5"/>
  <c r="H11" i="5"/>
  <c r="H12" i="5"/>
  <c r="H13" i="5"/>
  <c r="H14" i="5"/>
  <c r="H15" i="5"/>
  <c r="H16" i="5"/>
  <c r="H18" i="5"/>
  <c r="H19" i="5"/>
  <c r="H20" i="5"/>
  <c r="H21" i="5"/>
  <c r="H22" i="5"/>
  <c r="H23" i="5"/>
  <c r="H24" i="5"/>
  <c r="H25" i="5"/>
  <c r="H26" i="5"/>
  <c r="H27" i="5"/>
  <c r="H28" i="5"/>
  <c r="H29" i="5"/>
  <c r="H30" i="5"/>
  <c r="H31" i="5"/>
  <c r="H32" i="5"/>
  <c r="H33" i="5"/>
  <c r="H34" i="5"/>
  <c r="H3" i="5"/>
  <c r="G4" i="5"/>
  <c r="G5" i="5"/>
  <c r="G6" i="5"/>
  <c r="G7" i="5"/>
  <c r="G8" i="5"/>
  <c r="G9" i="5"/>
  <c r="G10" i="5"/>
  <c r="G11" i="5"/>
  <c r="G12" i="5"/>
  <c r="G13" i="5"/>
  <c r="G14" i="5"/>
  <c r="G15" i="5"/>
  <c r="G16" i="5"/>
  <c r="G17" i="5"/>
  <c r="G18" i="5"/>
  <c r="G19" i="5"/>
  <c r="G20" i="5"/>
  <c r="G21" i="5"/>
  <c r="G22" i="5"/>
  <c r="G23" i="5"/>
  <c r="G24" i="5"/>
  <c r="G25" i="5"/>
  <c r="G26" i="5"/>
  <c r="G27" i="5"/>
  <c r="G28" i="5"/>
  <c r="G29" i="5"/>
  <c r="G30" i="5"/>
  <c r="G31" i="5"/>
  <c r="G32" i="5"/>
  <c r="G33" i="5"/>
  <c r="G34" i="5"/>
  <c r="G3" i="5"/>
  <c r="I3" i="5" s="1"/>
  <c r="J4" i="5" l="1"/>
  <c r="J5" i="5"/>
  <c r="J6" i="5"/>
  <c r="J7" i="5"/>
  <c r="J8" i="5"/>
  <c r="J9" i="5"/>
  <c r="J10" i="5"/>
  <c r="J11" i="5"/>
  <c r="J12" i="5"/>
  <c r="J13" i="5"/>
  <c r="J14" i="5"/>
  <c r="J15" i="5"/>
  <c r="J16" i="5"/>
  <c r="J17" i="5"/>
  <c r="J18" i="5"/>
  <c r="J19" i="5"/>
  <c r="J20" i="5"/>
  <c r="J21" i="5"/>
  <c r="J22" i="5"/>
  <c r="J23" i="5"/>
  <c r="J24" i="5"/>
  <c r="J25" i="5"/>
  <c r="J26" i="5"/>
  <c r="J27" i="5"/>
  <c r="J28" i="5"/>
  <c r="J29" i="5"/>
  <c r="J30" i="5"/>
  <c r="J31" i="5"/>
  <c r="J32" i="5"/>
  <c r="J33" i="5"/>
  <c r="J34" i="5"/>
  <c r="J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29" i="5"/>
  <c r="I30" i="5"/>
  <c r="I31" i="5"/>
  <c r="I32" i="5"/>
  <c r="I33" i="5"/>
  <c r="I34" i="5"/>
  <c r="M9" i="5" l="1"/>
  <c r="M11" i="5"/>
  <c r="N10" i="5"/>
  <c r="N6" i="5"/>
  <c r="M6" i="5"/>
  <c r="N5" i="5"/>
  <c r="N11" i="5"/>
  <c r="N12" i="5"/>
  <c r="N9" i="5"/>
  <c r="M7" i="5"/>
  <c r="M5" i="5"/>
  <c r="M10" i="5"/>
  <c r="N7" i="5"/>
  <c r="M4" i="5"/>
  <c r="M12" i="5"/>
  <c r="N4" i="5"/>
  <c r="M138" i="2" l="1"/>
  <c r="M8" i="2"/>
  <c r="M13" i="2"/>
  <c r="M18" i="2"/>
  <c r="M23" i="2"/>
  <c r="M28" i="2"/>
  <c r="M33" i="2"/>
  <c r="M38" i="2"/>
  <c r="M43" i="2"/>
  <c r="M48" i="2"/>
  <c r="M53" i="2"/>
  <c r="M58" i="2"/>
  <c r="M63" i="2"/>
  <c r="M68" i="2"/>
  <c r="M73" i="2"/>
  <c r="M78" i="2"/>
  <c r="M83" i="2"/>
  <c r="M88" i="2"/>
  <c r="M93" i="2"/>
  <c r="M98" i="2"/>
  <c r="M103" i="2"/>
  <c r="M108" i="2"/>
  <c r="M113" i="2"/>
  <c r="M118" i="2"/>
  <c r="M123" i="2"/>
  <c r="M128" i="2"/>
  <c r="M133" i="2"/>
  <c r="M143" i="2"/>
  <c r="M148" i="2"/>
  <c r="M153" i="2"/>
  <c r="M158" i="2"/>
  <c r="M3" i="2"/>
  <c r="L8" i="2"/>
  <c r="L13" i="2"/>
  <c r="L18" i="2"/>
  <c r="L23" i="2"/>
  <c r="L28" i="2"/>
  <c r="L33" i="2"/>
  <c r="L38" i="2"/>
  <c r="L43" i="2"/>
  <c r="L48" i="2"/>
  <c r="L53" i="2"/>
  <c r="L58" i="2"/>
  <c r="L63" i="2"/>
  <c r="L68" i="2"/>
  <c r="L73" i="2"/>
  <c r="L78" i="2"/>
  <c r="L83" i="2"/>
  <c r="L88" i="2"/>
  <c r="L93" i="2"/>
  <c r="L98" i="2"/>
  <c r="L103" i="2"/>
  <c r="L108" i="2"/>
  <c r="L113" i="2"/>
  <c r="L118" i="2"/>
  <c r="L123" i="2"/>
  <c r="L128" i="2"/>
  <c r="L133" i="2"/>
  <c r="L138" i="2"/>
  <c r="L143" i="2"/>
  <c r="L148" i="2"/>
  <c r="L153" i="2"/>
  <c r="L158" i="2"/>
  <c r="L3" i="2"/>
  <c r="K8" i="2"/>
  <c r="K13" i="2"/>
  <c r="K18" i="2"/>
  <c r="K23" i="2"/>
  <c r="K28" i="2"/>
  <c r="K33" i="2"/>
  <c r="K38" i="2"/>
  <c r="K43" i="2"/>
  <c r="K48" i="2"/>
  <c r="K53" i="2"/>
  <c r="K58" i="2"/>
  <c r="K63" i="2"/>
  <c r="K68" i="2"/>
  <c r="K73" i="2"/>
  <c r="K78" i="2"/>
  <c r="K83" i="2"/>
  <c r="K88" i="2"/>
  <c r="K93" i="2"/>
  <c r="K98" i="2"/>
  <c r="K103" i="2"/>
  <c r="K108" i="2"/>
  <c r="K113" i="2"/>
  <c r="K118" i="2"/>
  <c r="K123" i="2"/>
  <c r="K128" i="2"/>
  <c r="K133" i="2"/>
  <c r="K138" i="2"/>
  <c r="K143" i="2"/>
  <c r="K148" i="2"/>
  <c r="K153" i="2"/>
  <c r="K158" i="2"/>
  <c r="K3" i="2"/>
  <c r="J8" i="2"/>
  <c r="J13" i="2"/>
  <c r="J18" i="2"/>
  <c r="J23" i="2"/>
  <c r="J28" i="2"/>
  <c r="J33" i="2"/>
  <c r="J38" i="2"/>
  <c r="J43" i="2"/>
  <c r="J48" i="2"/>
  <c r="J53" i="2"/>
  <c r="J58" i="2"/>
  <c r="J63" i="2"/>
  <c r="J68" i="2"/>
  <c r="J73" i="2"/>
  <c r="J78" i="2"/>
  <c r="J83" i="2"/>
  <c r="J88" i="2"/>
  <c r="J93" i="2"/>
  <c r="J98" i="2"/>
  <c r="J103" i="2"/>
  <c r="J108" i="2"/>
  <c r="J113" i="2"/>
  <c r="J118" i="2"/>
  <c r="J123" i="2"/>
  <c r="J128" i="2"/>
  <c r="J133" i="2"/>
  <c r="J138" i="2"/>
  <c r="J143" i="2"/>
  <c r="J148" i="2"/>
  <c r="J153" i="2"/>
  <c r="J158" i="2"/>
  <c r="J3" i="2"/>
  <c r="N4" i="3"/>
  <c r="O4" i="3" s="1"/>
  <c r="N5" i="3"/>
  <c r="O5" i="3" s="1"/>
  <c r="N6" i="3"/>
  <c r="O6" i="3" s="1"/>
  <c r="N7" i="3"/>
  <c r="O7" i="3" s="1"/>
  <c r="N8" i="3"/>
  <c r="O8" i="3" s="1"/>
  <c r="N9" i="3"/>
  <c r="O9" i="3" s="1"/>
  <c r="N10" i="3"/>
  <c r="O10" i="3" s="1"/>
  <c r="N11" i="3"/>
  <c r="O11" i="3" s="1"/>
  <c r="N12" i="3"/>
  <c r="O12" i="3" s="1"/>
  <c r="N13" i="3"/>
  <c r="O13" i="3" s="1"/>
  <c r="N14" i="3"/>
  <c r="O14" i="3" s="1"/>
  <c r="N15" i="3"/>
  <c r="O15" i="3" s="1"/>
  <c r="N16" i="3"/>
  <c r="O16" i="3" s="1"/>
  <c r="N17" i="3"/>
  <c r="O17" i="3" s="1"/>
  <c r="N18" i="3"/>
  <c r="O18" i="3" s="1"/>
  <c r="N19" i="3"/>
  <c r="O19" i="3" s="1"/>
  <c r="N20" i="3"/>
  <c r="O20" i="3" s="1"/>
  <c r="N21" i="3"/>
  <c r="O21" i="3" s="1"/>
  <c r="N22" i="3"/>
  <c r="O22" i="3" s="1"/>
  <c r="N23" i="3"/>
  <c r="O23" i="3" s="1"/>
  <c r="N24" i="3"/>
  <c r="O24" i="3" s="1"/>
  <c r="N25" i="3"/>
  <c r="O25" i="3" s="1"/>
  <c r="N26" i="3"/>
  <c r="O26" i="3" s="1"/>
  <c r="N27" i="3"/>
  <c r="O27" i="3" s="1"/>
  <c r="N28" i="3"/>
  <c r="O28" i="3" s="1"/>
  <c r="N29" i="3"/>
  <c r="O29" i="3" s="1"/>
  <c r="N30" i="3"/>
  <c r="O30" i="3" s="1"/>
  <c r="N31" i="3"/>
  <c r="O31" i="3" s="1"/>
  <c r="N32" i="3"/>
  <c r="O32" i="3" s="1"/>
  <c r="N33" i="3"/>
  <c r="O33" i="3" s="1"/>
  <c r="N34" i="3"/>
  <c r="O34" i="3" s="1"/>
  <c r="N3" i="3"/>
  <c r="O3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marina</author>
  </authors>
  <commentList>
    <comment ref="H17" authorId="0" shapeId="0" xr:uid="{43E3AA64-3245-4A66-BB8A-456866B7DB2E}">
      <text>
        <r>
          <rPr>
            <b/>
            <sz val="9"/>
            <color indexed="81"/>
            <rFont val="Tahoma"/>
            <family val="2"/>
          </rPr>
          <t>marina:</t>
        </r>
        <r>
          <rPr>
            <sz val="9"/>
            <color indexed="81"/>
            <rFont val="Tahoma"/>
            <family val="2"/>
          </rPr>
          <t xml:space="preserve">
changed tare to 0.91 because the mean equaled 0 in this case</t>
        </r>
      </text>
    </comment>
  </commentList>
</comments>
</file>

<file path=xl/sharedStrings.xml><?xml version="1.0" encoding="utf-8"?>
<sst xmlns="http://schemas.openxmlformats.org/spreadsheetml/2006/main" count="1166" uniqueCount="164">
  <si>
    <t>Sample</t>
  </si>
  <si>
    <t>Parcel·la</t>
  </si>
  <si>
    <t>Var</t>
  </si>
  <si>
    <t>Tract&amp;Rep</t>
  </si>
  <si>
    <t>Nº maduixa</t>
  </si>
  <si>
    <t>Pes</t>
  </si>
  <si>
    <t>Firm</t>
  </si>
  <si>
    <t>Par color</t>
  </si>
  <si>
    <t>Value</t>
  </si>
  <si>
    <t>Mean pes</t>
  </si>
  <si>
    <t>se</t>
  </si>
  <si>
    <t>Mean Firm</t>
  </si>
  <si>
    <t>g/fruit</t>
  </si>
  <si>
    <t>Kg/cm2</t>
  </si>
  <si>
    <t>DO</t>
  </si>
  <si>
    <t>T1R1</t>
  </si>
  <si>
    <t>L</t>
  </si>
  <si>
    <t>a</t>
  </si>
  <si>
    <t>b</t>
  </si>
  <si>
    <t>-</t>
  </si>
  <si>
    <t>T3R1</t>
  </si>
  <si>
    <t>T2R2</t>
  </si>
  <si>
    <t>T4R2</t>
  </si>
  <si>
    <t>T3R3</t>
  </si>
  <si>
    <t>T1R3</t>
  </si>
  <si>
    <t>T4R4</t>
  </si>
  <si>
    <t>T2R4</t>
  </si>
  <si>
    <t>T3R4</t>
  </si>
  <si>
    <t>T1R4</t>
  </si>
  <si>
    <t>T2R3</t>
  </si>
  <si>
    <t>T4R3</t>
  </si>
  <si>
    <t>T1R2</t>
  </si>
  <si>
    <t>T3R2</t>
  </si>
  <si>
    <t>T4R1</t>
  </si>
  <si>
    <t>T2R1</t>
  </si>
  <si>
    <t>DR</t>
  </si>
  <si>
    <t>NA</t>
  </si>
  <si>
    <t>Mean weight/fruit</t>
  </si>
  <si>
    <t>Mean Firmness</t>
  </si>
  <si>
    <t>a*</t>
  </si>
  <si>
    <t>b*</t>
  </si>
  <si>
    <t>ºHue</t>
  </si>
  <si>
    <t xml:space="preserve">Chroma values </t>
  </si>
  <si>
    <t>ºBRIX</t>
  </si>
  <si>
    <t>TA</t>
  </si>
  <si>
    <t>Acidity</t>
  </si>
  <si>
    <t>TSS/Acidity</t>
  </si>
  <si>
    <t>ml NaOH</t>
  </si>
  <si>
    <t>g citric acid/100 g FW</t>
  </si>
  <si>
    <t>For Vit C (g)</t>
  </si>
  <si>
    <t>For Anthocyanins (g)</t>
  </si>
  <si>
    <t>FW (g)</t>
  </si>
  <si>
    <t>DW (g)</t>
  </si>
  <si>
    <t>W/ tare FW</t>
  </si>
  <si>
    <t>W/ tare DW</t>
  </si>
  <si>
    <t>FW/DW</t>
  </si>
  <si>
    <t>Hydration (%)</t>
  </si>
  <si>
    <t>Treatment</t>
  </si>
  <si>
    <t>Dona</t>
  </si>
  <si>
    <t>T1</t>
  </si>
  <si>
    <t>T2</t>
  </si>
  <si>
    <t>T3</t>
  </si>
  <si>
    <t>T4</t>
  </si>
  <si>
    <t>Dream</t>
  </si>
  <si>
    <t xml:space="preserve">Tare flacon no lid </t>
  </si>
  <si>
    <t>Tare falcon lid</t>
  </si>
  <si>
    <t>Tare epp</t>
  </si>
  <si>
    <t>Parcel</t>
  </si>
  <si>
    <t>Cv</t>
  </si>
  <si>
    <t>Repl</t>
  </si>
  <si>
    <t>Weight</t>
  </si>
  <si>
    <t>Hydrat</t>
  </si>
  <si>
    <t>Hue</t>
  </si>
  <si>
    <t>Chroma</t>
  </si>
  <si>
    <t>BRIX</t>
  </si>
  <si>
    <t>Vit C</t>
  </si>
  <si>
    <t>R1</t>
  </si>
  <si>
    <t>R2</t>
  </si>
  <si>
    <t>R3</t>
  </si>
  <si>
    <t>R4</t>
  </si>
  <si>
    <t>System</t>
  </si>
  <si>
    <r>
      <t>Weight (g · fruit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</si>
  <si>
    <t>Hydratation (%)</t>
  </si>
  <si>
    <t>Hue angle (º)</t>
  </si>
  <si>
    <t>Acidity (%)</t>
  </si>
  <si>
    <t>TSS/TA</t>
  </si>
  <si>
    <r>
      <t>Vit C (mg ·g DW</t>
    </r>
    <r>
      <rPr>
        <b/>
        <vertAlign val="superscript"/>
        <sz val="11"/>
        <color theme="1"/>
        <rFont val="Times New Roman"/>
        <family val="1"/>
      </rPr>
      <t>-1</t>
    </r>
    <r>
      <rPr>
        <b/>
        <sz val="11"/>
        <color theme="1"/>
        <rFont val="Times New Roman"/>
        <family val="1"/>
      </rPr>
      <t>)</t>
    </r>
  </si>
  <si>
    <t>DONNA</t>
  </si>
  <si>
    <t>Compost</t>
  </si>
  <si>
    <t>10.66 ± 0.72</t>
  </si>
  <si>
    <t>86.07 ± 1.29 a</t>
  </si>
  <si>
    <t>28.80 ± 2.76</t>
  </si>
  <si>
    <t>43.41 ± 2.32</t>
  </si>
  <si>
    <t>9.93 ± 0.27 ab</t>
  </si>
  <si>
    <t>0.84 ± 0.01</t>
  </si>
  <si>
    <t>11.83 ± 0.35</t>
  </si>
  <si>
    <t>1.90 ± 0.27</t>
  </si>
  <si>
    <t>N-rich</t>
  </si>
  <si>
    <t>10.85 ± 0.48</t>
  </si>
  <si>
    <t>88.43 ± 1.06 ab</t>
  </si>
  <si>
    <t>27.48 ± 1.50</t>
  </si>
  <si>
    <t>41.49 ± 2.48</t>
  </si>
  <si>
    <t>9.80 ± 0.31 a</t>
  </si>
  <si>
    <t>0.81 ± 0.02</t>
  </si>
  <si>
    <t>12.13 ± 0.40</t>
  </si>
  <si>
    <t>2.17 ± 0.24</t>
  </si>
  <si>
    <t>WR-HD</t>
  </si>
  <si>
    <t>9.57 ± 1.05</t>
  </si>
  <si>
    <t>89.03 ± 2.77 ab</t>
  </si>
  <si>
    <t>29.18 ± 1.51</t>
  </si>
  <si>
    <t>45.17 ± 1.82</t>
  </si>
  <si>
    <t>10.20 ± 0.41 b</t>
  </si>
  <si>
    <t>0.83 ± 0.02</t>
  </si>
  <si>
    <t>12.51 ± 0.58</t>
  </si>
  <si>
    <t>2.88 ± 0.78</t>
  </si>
  <si>
    <t>WR-LD</t>
  </si>
  <si>
    <t>10.00 ± 0.47</t>
  </si>
  <si>
    <t>92.15 ± 2.05 b</t>
  </si>
  <si>
    <t>28.43 ± 1.29</t>
  </si>
  <si>
    <t>44.40 ± 1.69</t>
  </si>
  <si>
    <t>9.25 ± 0.37 a</t>
  </si>
  <si>
    <t>11.02 ± 0.44</t>
  </si>
  <si>
    <t>3.50 ± 0.80</t>
  </si>
  <si>
    <t>DREAM</t>
  </si>
  <si>
    <t>11.41 ± 1.06</t>
  </si>
  <si>
    <t>85.84 ± 1.22</t>
  </si>
  <si>
    <t>28.52 ± 2.37</t>
  </si>
  <si>
    <t>43.50 ± 3.11 ab</t>
  </si>
  <si>
    <t>10.43 ± 0.28</t>
  </si>
  <si>
    <t>0.89 ± 0.03</t>
  </si>
  <si>
    <t>11.57 ± 0.56</t>
  </si>
  <si>
    <t>2.40 ± 0.24 a</t>
  </si>
  <si>
    <t>9.97 ± 0.63</t>
  </si>
  <si>
    <t>87.93 ± 0.78</t>
  </si>
  <si>
    <t>29.20 ± 1.78</t>
  </si>
  <si>
    <t>42.63 ± 2.05 a</t>
  </si>
  <si>
    <t>10.80 ± 0.43</t>
  </si>
  <si>
    <t>0.86 ± 0.03</t>
  </si>
  <si>
    <t>12.50 ± 0.41</t>
  </si>
  <si>
    <t>2.91 ± 0.34 b</t>
  </si>
  <si>
    <t>9.95 ± 1.10</t>
  </si>
  <si>
    <t>84.57 ± 1.87</t>
  </si>
  <si>
    <t>30.16 ± 2.13</t>
  </si>
  <si>
    <t>49.16 ± 2.11 b</t>
  </si>
  <si>
    <t>10.38 ± 0.57</t>
  </si>
  <si>
    <t>0.82 ± 0.02</t>
  </si>
  <si>
    <t>12.74 ± 0.54</t>
  </si>
  <si>
    <t>2.37 ± 0.30 ab</t>
  </si>
  <si>
    <t>10.42 ± 0.97</t>
  </si>
  <si>
    <t>85.49 ± 1.37</t>
  </si>
  <si>
    <t>30.60 ± 2.00</t>
  </si>
  <si>
    <t>45.70 ± 1.88 ab</t>
  </si>
  <si>
    <t>10.60 ± 0.33</t>
  </si>
  <si>
    <t>0.84 ± 0.05</t>
  </si>
  <si>
    <t>12.25 ± 0.63</t>
  </si>
  <si>
    <t>2.87 ± 0.42 ab</t>
  </si>
  <si>
    <t>GA</t>
  </si>
  <si>
    <t>GGA</t>
  </si>
  <si>
    <t>CSI</t>
  </si>
  <si>
    <t>P gluc</t>
  </si>
  <si>
    <t>P rut</t>
  </si>
  <si>
    <t>Cyan</t>
  </si>
  <si>
    <t>Tot anth</t>
  </si>
  <si>
    <t>Cultivar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</si>
</sst>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9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vertAlign val="superscript"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8">
    <border>
      <left/>
      <right/>
      <top/>
      <bottom/>
      <diagonal/>
    </border>
    <border>
      <left style="medium">
        <color rgb="FFCCCCCC"/>
      </left>
      <right/>
      <top/>
      <bottom/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 style="medium">
        <color rgb="FFCCCCCC"/>
      </right>
      <top/>
      <bottom style="medium">
        <color rgb="FFCCCCCC"/>
      </bottom>
      <diagonal/>
    </border>
    <border>
      <left/>
      <right style="medium">
        <color rgb="FFCCCCCC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0" fillId="0" borderId="4" xfId="0" applyBorder="1"/>
    <xf numFmtId="0" fontId="2" fillId="0" borderId="2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1" xfId="0" applyBorder="1"/>
    <xf numFmtId="0" fontId="0" fillId="0" borderId="5" xfId="0" applyBorder="1"/>
    <xf numFmtId="0" fontId="0" fillId="0" borderId="5" xfId="0" applyBorder="1" applyAlignment="1">
      <alignment vertical="center"/>
    </xf>
    <xf numFmtId="0" fontId="0" fillId="0" borderId="5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7" xfId="0" applyBorder="1"/>
    <xf numFmtId="0" fontId="0" fillId="0" borderId="6" xfId="0" applyBorder="1" applyAlignment="1">
      <alignment horizontal="center" vertical="center"/>
    </xf>
    <xf numFmtId="0" fontId="0" fillId="0" borderId="6" xfId="0" applyBorder="1"/>
    <xf numFmtId="0" fontId="0" fillId="0" borderId="8" xfId="0" applyBorder="1" applyAlignment="1">
      <alignment horizontal="center" vertical="center"/>
    </xf>
    <xf numFmtId="0" fontId="0" fillId="0" borderId="8" xfId="0" applyBorder="1"/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0" fillId="0" borderId="7" xfId="0" applyBorder="1" applyAlignment="1">
      <alignment vertical="center"/>
    </xf>
    <xf numFmtId="0" fontId="2" fillId="0" borderId="7" xfId="0" applyFont="1" applyBorder="1" applyAlignment="1">
      <alignment vertical="center" wrapText="1"/>
    </xf>
    <xf numFmtId="0" fontId="1" fillId="0" borderId="0" xfId="0" applyFont="1"/>
    <xf numFmtId="0" fontId="1" fillId="0" borderId="10" xfId="0" applyFont="1" applyBorder="1" applyAlignment="1">
      <alignment horizontal="center" vertical="center"/>
    </xf>
    <xf numFmtId="0" fontId="1" fillId="0" borderId="7" xfId="0" applyFont="1" applyBorder="1" applyAlignment="1">
      <alignment horizontal="center"/>
    </xf>
    <xf numFmtId="0" fontId="1" fillId="0" borderId="11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164" fontId="0" fillId="0" borderId="5" xfId="0" applyNumberFormat="1" applyBorder="1"/>
    <xf numFmtId="0" fontId="0" fillId="0" borderId="14" xfId="0" applyBorder="1" applyAlignment="1">
      <alignment vertical="center"/>
    </xf>
    <xf numFmtId="0" fontId="0" fillId="0" borderId="15" xfId="0" applyBorder="1"/>
    <xf numFmtId="0" fontId="0" fillId="0" borderId="5" xfId="0" applyBorder="1" applyAlignment="1">
      <alignment horizontal="right" vertical="center"/>
    </xf>
    <xf numFmtId="164" fontId="0" fillId="0" borderId="0" xfId="0" applyNumberFormat="1"/>
    <xf numFmtId="0" fontId="0" fillId="0" borderId="17" xfId="0" applyBorder="1"/>
    <xf numFmtId="0" fontId="0" fillId="0" borderId="17" xfId="0" applyBorder="1" applyAlignment="1">
      <alignment horizontal="center"/>
    </xf>
    <xf numFmtId="0" fontId="1" fillId="0" borderId="5" xfId="0" applyFont="1" applyBorder="1" applyAlignment="1">
      <alignment vertical="center"/>
    </xf>
    <xf numFmtId="0" fontId="3" fillId="0" borderId="9" xfId="0" applyFont="1" applyBorder="1" applyAlignment="1">
      <alignment vertical="center" wrapText="1"/>
    </xf>
    <xf numFmtId="0" fontId="1" fillId="0" borderId="9" xfId="0" applyFont="1" applyBorder="1" applyAlignment="1">
      <alignment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3" fillId="0" borderId="9" xfId="0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 wrapText="1"/>
    </xf>
    <xf numFmtId="0" fontId="0" fillId="0" borderId="7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1" fillId="0" borderId="12" xfId="0" applyFont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3" fillId="0" borderId="10" xfId="0" applyFont="1" applyBorder="1" applyAlignment="1">
      <alignment horizontal="center" vertical="center" wrapText="1"/>
    </xf>
    <xf numFmtId="0" fontId="3" fillId="0" borderId="11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" fillId="0" borderId="8" xfId="0" applyFont="1" applyBorder="1" applyAlignment="1">
      <alignment horizontal="center" vertical="center" wrapText="1"/>
    </xf>
    <xf numFmtId="164" fontId="0" fillId="0" borderId="5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7" xfId="0" applyBorder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 vertical="center"/>
    </xf>
    <xf numFmtId="0" fontId="7" fillId="0" borderId="17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E10EA9-D426-40D1-89C0-0C841E9DA99A}">
  <dimension ref="A1:M167"/>
  <sheetViews>
    <sheetView zoomScale="80" zoomScaleNormal="80" workbookViewId="0">
      <selection activeCell="P9" sqref="P9"/>
    </sheetView>
  </sheetViews>
  <sheetFormatPr defaultColWidth="11.42578125" defaultRowHeight="15"/>
  <cols>
    <col min="1" max="1" width="10.85546875" bestFit="1" customWidth="1"/>
    <col min="2" max="2" width="11.140625" bestFit="1" customWidth="1"/>
    <col min="3" max="3" width="7.28515625" customWidth="1"/>
    <col min="4" max="4" width="11" bestFit="1" customWidth="1"/>
    <col min="5" max="5" width="10.5703125" bestFit="1" customWidth="1"/>
    <col min="6" max="6" width="8.7109375" customWidth="1"/>
    <col min="7" max="7" width="9" customWidth="1"/>
    <col min="8" max="8" width="9.28515625" customWidth="1"/>
    <col min="9" max="9" width="7.85546875" customWidth="1"/>
    <col min="10" max="11" width="13.42578125" customWidth="1"/>
  </cols>
  <sheetData>
    <row r="1" spans="1:13" ht="25.5" customHeight="1">
      <c r="A1" s="43" t="s">
        <v>0</v>
      </c>
      <c r="B1" s="40" t="s">
        <v>1</v>
      </c>
      <c r="C1" s="40" t="s">
        <v>2</v>
      </c>
      <c r="D1" s="40" t="s">
        <v>3</v>
      </c>
      <c r="E1" s="51" t="s">
        <v>4</v>
      </c>
      <c r="F1" s="16" t="s">
        <v>5</v>
      </c>
      <c r="G1" s="14" t="s">
        <v>6</v>
      </c>
      <c r="H1" s="49" t="s">
        <v>7</v>
      </c>
      <c r="I1" s="43" t="s">
        <v>8</v>
      </c>
      <c r="J1" s="47" t="s">
        <v>9</v>
      </c>
      <c r="K1" s="47" t="s">
        <v>10</v>
      </c>
      <c r="L1" s="47" t="s">
        <v>11</v>
      </c>
      <c r="M1" s="47" t="s">
        <v>10</v>
      </c>
    </row>
    <row r="2" spans="1:13">
      <c r="A2" s="44"/>
      <c r="B2" s="41"/>
      <c r="C2" s="41"/>
      <c r="D2" s="41"/>
      <c r="E2" s="52"/>
      <c r="F2" s="17" t="s">
        <v>12</v>
      </c>
      <c r="G2" s="15" t="s">
        <v>13</v>
      </c>
      <c r="H2" s="50"/>
      <c r="I2" s="44"/>
      <c r="J2" s="47"/>
      <c r="K2" s="47"/>
      <c r="L2" s="47"/>
      <c r="M2" s="47"/>
    </row>
    <row r="3" spans="1:13">
      <c r="A3" s="47">
        <v>1</v>
      </c>
      <c r="B3" s="47">
        <v>1</v>
      </c>
      <c r="C3" s="47" t="s">
        <v>14</v>
      </c>
      <c r="D3" s="47" t="s">
        <v>15</v>
      </c>
      <c r="E3" s="7">
        <v>1</v>
      </c>
      <c r="F3" s="9">
        <v>15.59</v>
      </c>
      <c r="G3" s="9">
        <v>2.1</v>
      </c>
      <c r="H3" s="5" t="s">
        <v>16</v>
      </c>
      <c r="I3" s="5">
        <v>33.479999999999997</v>
      </c>
      <c r="J3" s="47">
        <f>AVERAGE(F3:F7)</f>
        <v>11.33</v>
      </c>
      <c r="K3" s="58">
        <f>STDEV(F3:F7)/SQRT(5)</f>
        <v>1.3735537848952266</v>
      </c>
      <c r="L3" s="47">
        <f>AVERAGE(G3:G7)</f>
        <v>1.8800000000000001</v>
      </c>
      <c r="M3" s="58">
        <f>STDEV(G3:G7)/SQRT(5)</f>
        <v>8.0000000000000016E-2</v>
      </c>
    </row>
    <row r="4" spans="1:13">
      <c r="A4" s="47"/>
      <c r="B4" s="47"/>
      <c r="C4" s="47"/>
      <c r="D4" s="47"/>
      <c r="E4" s="7">
        <v>2</v>
      </c>
      <c r="F4" s="5">
        <v>10.41</v>
      </c>
      <c r="G4" s="5">
        <v>1.9</v>
      </c>
      <c r="H4" s="5" t="s">
        <v>17</v>
      </c>
      <c r="I4" s="5">
        <v>42.91</v>
      </c>
      <c r="J4" s="47"/>
      <c r="K4" s="58"/>
      <c r="L4" s="47"/>
      <c r="M4" s="58"/>
    </row>
    <row r="5" spans="1:13">
      <c r="A5" s="47"/>
      <c r="B5" s="47"/>
      <c r="C5" s="47"/>
      <c r="D5" s="47"/>
      <c r="E5" s="7">
        <v>3</v>
      </c>
      <c r="F5" s="5">
        <v>11.5</v>
      </c>
      <c r="G5" s="5">
        <v>2</v>
      </c>
      <c r="H5" s="5" t="s">
        <v>18</v>
      </c>
      <c r="I5" s="5">
        <v>22.23</v>
      </c>
      <c r="J5" s="47"/>
      <c r="K5" s="58"/>
      <c r="L5" s="47"/>
      <c r="M5" s="58"/>
    </row>
    <row r="6" spans="1:13">
      <c r="A6" s="47"/>
      <c r="B6" s="47"/>
      <c r="C6" s="47"/>
      <c r="D6" s="47"/>
      <c r="E6" s="7">
        <v>4</v>
      </c>
      <c r="F6" s="5">
        <v>12.08</v>
      </c>
      <c r="G6" s="5">
        <v>1.7</v>
      </c>
      <c r="H6" s="5" t="s">
        <v>19</v>
      </c>
      <c r="I6" s="5"/>
      <c r="J6" s="47"/>
      <c r="K6" s="58"/>
      <c r="L6" s="47"/>
      <c r="M6" s="58"/>
    </row>
    <row r="7" spans="1:13" ht="15.75" thickBot="1">
      <c r="A7" s="48"/>
      <c r="B7" s="48"/>
      <c r="C7" s="48"/>
      <c r="D7" s="48"/>
      <c r="E7" s="10">
        <v>5</v>
      </c>
      <c r="F7" s="11">
        <v>7.07</v>
      </c>
      <c r="G7" s="11">
        <v>1.7</v>
      </c>
      <c r="H7" s="11" t="s">
        <v>19</v>
      </c>
      <c r="I7" s="11"/>
      <c r="J7" s="48"/>
      <c r="K7" s="59"/>
      <c r="L7" s="48"/>
      <c r="M7" s="59"/>
    </row>
    <row r="8" spans="1:13">
      <c r="A8" s="56">
        <v>2</v>
      </c>
      <c r="B8" s="57">
        <v>2</v>
      </c>
      <c r="C8" s="57" t="s">
        <v>14</v>
      </c>
      <c r="D8" s="56" t="s">
        <v>20</v>
      </c>
      <c r="E8" s="12">
        <v>1</v>
      </c>
      <c r="F8" s="13">
        <v>10.52</v>
      </c>
      <c r="G8" s="13">
        <v>2</v>
      </c>
      <c r="H8" s="5" t="s">
        <v>16</v>
      </c>
      <c r="I8" s="13">
        <v>36.01</v>
      </c>
      <c r="J8" s="47">
        <f t="shared" ref="J8" si="0">AVERAGE(F8:F12)</f>
        <v>8.2379999999999995</v>
      </c>
      <c r="K8" s="58">
        <f t="shared" ref="K8" si="1">STDEV(F8:F12)/SQRT(5)</f>
        <v>0.82757114497787998</v>
      </c>
      <c r="L8" s="47">
        <f t="shared" ref="L8" si="2">AVERAGE(G8:G12)</f>
        <v>1.9600000000000002</v>
      </c>
      <c r="M8" s="58">
        <f t="shared" ref="M8" si="3">STDEV(G8:G12)/SQRT(5)</f>
        <v>2.4494897427831803E-2</v>
      </c>
    </row>
    <row r="9" spans="1:13">
      <c r="A9" s="47"/>
      <c r="B9" s="54"/>
      <c r="C9" s="54"/>
      <c r="D9" s="47"/>
      <c r="E9" s="7">
        <v>2</v>
      </c>
      <c r="F9" s="5">
        <v>9.69</v>
      </c>
      <c r="G9" s="5">
        <v>2</v>
      </c>
      <c r="H9" s="5" t="s">
        <v>17</v>
      </c>
      <c r="I9" s="5">
        <v>40.630000000000003</v>
      </c>
      <c r="J9" s="47"/>
      <c r="K9" s="58"/>
      <c r="L9" s="47"/>
      <c r="M9" s="58"/>
    </row>
    <row r="10" spans="1:13">
      <c r="A10" s="47"/>
      <c r="B10" s="54"/>
      <c r="C10" s="54"/>
      <c r="D10" s="47"/>
      <c r="E10" s="7">
        <v>3</v>
      </c>
      <c r="F10" s="5">
        <v>6.09</v>
      </c>
      <c r="G10" s="5">
        <v>1.9</v>
      </c>
      <c r="H10" s="5" t="s">
        <v>18</v>
      </c>
      <c r="I10" s="5">
        <v>26.4</v>
      </c>
      <c r="J10" s="47"/>
      <c r="K10" s="58"/>
      <c r="L10" s="47"/>
      <c r="M10" s="58"/>
    </row>
    <row r="11" spans="1:13">
      <c r="A11" s="47"/>
      <c r="B11" s="54"/>
      <c r="C11" s="54"/>
      <c r="D11" s="47"/>
      <c r="E11" s="7">
        <v>4</v>
      </c>
      <c r="F11" s="5">
        <v>7.95</v>
      </c>
      <c r="G11" s="5">
        <v>2</v>
      </c>
      <c r="H11" s="5" t="s">
        <v>19</v>
      </c>
      <c r="I11" s="5"/>
      <c r="J11" s="47"/>
      <c r="K11" s="58"/>
      <c r="L11" s="47"/>
      <c r="M11" s="58"/>
    </row>
    <row r="12" spans="1:13" ht="15.75" thickBot="1">
      <c r="A12" s="48"/>
      <c r="B12" s="55"/>
      <c r="C12" s="55"/>
      <c r="D12" s="48"/>
      <c r="E12" s="10">
        <v>5</v>
      </c>
      <c r="F12" s="11">
        <v>6.94</v>
      </c>
      <c r="G12" s="11">
        <v>1.9</v>
      </c>
      <c r="H12" s="11" t="s">
        <v>19</v>
      </c>
      <c r="I12" s="11"/>
      <c r="J12" s="48"/>
      <c r="K12" s="59"/>
      <c r="L12" s="48"/>
      <c r="M12" s="59"/>
    </row>
    <row r="13" spans="1:13">
      <c r="A13" s="46">
        <v>3</v>
      </c>
      <c r="B13" s="53">
        <v>3</v>
      </c>
      <c r="C13" s="53" t="s">
        <v>14</v>
      </c>
      <c r="D13" s="46" t="s">
        <v>21</v>
      </c>
      <c r="E13" s="8">
        <v>1</v>
      </c>
      <c r="F13" s="9">
        <v>17.25</v>
      </c>
      <c r="G13" s="9">
        <v>2.1</v>
      </c>
      <c r="H13" s="5" t="s">
        <v>16</v>
      </c>
      <c r="I13" s="9">
        <v>31.11</v>
      </c>
      <c r="J13" s="47">
        <f t="shared" ref="J13" si="4">AVERAGE(F13:F17)</f>
        <v>11.416</v>
      </c>
      <c r="K13" s="58">
        <f t="shared" ref="K13" si="5">STDEV(F13:F17)/SQRT(5)</f>
        <v>1.7073300793929689</v>
      </c>
      <c r="L13" s="47">
        <f t="shared" ref="L13" si="6">AVERAGE(G13:G17)</f>
        <v>1.94</v>
      </c>
      <c r="M13" s="58">
        <f t="shared" ref="M13" si="7">STDEV(G13:G17)/SQRT(5)</f>
        <v>5.0990195135927861E-2</v>
      </c>
    </row>
    <row r="14" spans="1:13">
      <c r="A14" s="47"/>
      <c r="B14" s="54"/>
      <c r="C14" s="54"/>
      <c r="D14" s="47"/>
      <c r="E14" s="7">
        <v>2</v>
      </c>
      <c r="F14" s="5">
        <v>12.11</v>
      </c>
      <c r="G14" s="5">
        <v>1.9</v>
      </c>
      <c r="H14" s="5" t="s">
        <v>17</v>
      </c>
      <c r="I14" s="5">
        <v>38.36</v>
      </c>
      <c r="J14" s="47"/>
      <c r="K14" s="58"/>
      <c r="L14" s="47"/>
      <c r="M14" s="58"/>
    </row>
    <row r="15" spans="1:13">
      <c r="A15" s="47"/>
      <c r="B15" s="54"/>
      <c r="C15" s="54"/>
      <c r="D15" s="47"/>
      <c r="E15" s="7">
        <v>3</v>
      </c>
      <c r="F15" s="5">
        <v>9.4600000000000009</v>
      </c>
      <c r="G15" s="5">
        <v>1.8</v>
      </c>
      <c r="H15" s="5" t="s">
        <v>18</v>
      </c>
      <c r="I15" s="5">
        <v>18.57</v>
      </c>
      <c r="J15" s="47"/>
      <c r="K15" s="58"/>
      <c r="L15" s="47"/>
      <c r="M15" s="58"/>
    </row>
    <row r="16" spans="1:13">
      <c r="A16" s="47"/>
      <c r="B16" s="54"/>
      <c r="C16" s="54"/>
      <c r="D16" s="47"/>
      <c r="E16" s="7">
        <v>4</v>
      </c>
      <c r="F16" s="5">
        <v>11.31</v>
      </c>
      <c r="G16" s="5">
        <v>2</v>
      </c>
      <c r="H16" s="5" t="s">
        <v>19</v>
      </c>
      <c r="I16" s="5"/>
      <c r="J16" s="47"/>
      <c r="K16" s="58"/>
      <c r="L16" s="47"/>
      <c r="M16" s="58"/>
    </row>
    <row r="17" spans="1:13" ht="15.75" thickBot="1">
      <c r="A17" s="48"/>
      <c r="B17" s="55"/>
      <c r="C17" s="55"/>
      <c r="D17" s="48"/>
      <c r="E17" s="10">
        <v>5</v>
      </c>
      <c r="F17" s="11">
        <v>6.95</v>
      </c>
      <c r="G17" s="11">
        <v>1.9</v>
      </c>
      <c r="H17" s="11" t="s">
        <v>19</v>
      </c>
      <c r="I17" s="11"/>
      <c r="J17" s="48"/>
      <c r="K17" s="59"/>
      <c r="L17" s="48"/>
      <c r="M17" s="59"/>
    </row>
    <row r="18" spans="1:13">
      <c r="A18" s="46">
        <v>4</v>
      </c>
      <c r="B18" s="53">
        <v>4</v>
      </c>
      <c r="C18" s="53" t="s">
        <v>14</v>
      </c>
      <c r="D18" s="46" t="s">
        <v>22</v>
      </c>
      <c r="E18" s="8">
        <v>1</v>
      </c>
      <c r="F18" s="9">
        <v>6.91</v>
      </c>
      <c r="G18" s="9">
        <v>1.9</v>
      </c>
      <c r="H18" s="5" t="s">
        <v>16</v>
      </c>
      <c r="I18" s="9">
        <v>34.729999999999997</v>
      </c>
      <c r="J18" s="47">
        <f t="shared" ref="J18" si="8">AVERAGE(F18:F22)</f>
        <v>10.01</v>
      </c>
      <c r="K18" s="58">
        <f t="shared" ref="K18" si="9">STDEV(F18:F22)/SQRT(5)</f>
        <v>1.1217308054965793</v>
      </c>
      <c r="L18" s="47">
        <f t="shared" ref="L18" si="10">AVERAGE(G18:G22)</f>
        <v>1.6199999999999999</v>
      </c>
      <c r="M18" s="58">
        <f t="shared" ref="M18" si="11">STDEV(G18:G22)/SQRT(5)</f>
        <v>0.13564659966250478</v>
      </c>
    </row>
    <row r="19" spans="1:13">
      <c r="A19" s="47"/>
      <c r="B19" s="54"/>
      <c r="C19" s="54"/>
      <c r="D19" s="47"/>
      <c r="E19" s="7">
        <v>2</v>
      </c>
      <c r="F19" s="5">
        <v>13.92</v>
      </c>
      <c r="G19" s="5">
        <v>2</v>
      </c>
      <c r="H19" s="5" t="s">
        <v>17</v>
      </c>
      <c r="I19" s="5">
        <v>37.82</v>
      </c>
      <c r="J19" s="47"/>
      <c r="K19" s="58"/>
      <c r="L19" s="47"/>
      <c r="M19" s="58"/>
    </row>
    <row r="20" spans="1:13">
      <c r="A20" s="47"/>
      <c r="B20" s="54"/>
      <c r="C20" s="54"/>
      <c r="D20" s="47"/>
      <c r="E20" s="7">
        <v>3</v>
      </c>
      <c r="F20" s="5">
        <v>9.92</v>
      </c>
      <c r="G20" s="5">
        <v>1.4</v>
      </c>
      <c r="H20" s="5" t="s">
        <v>18</v>
      </c>
      <c r="I20" s="5">
        <v>22.18</v>
      </c>
      <c r="J20" s="47"/>
      <c r="K20" s="58"/>
      <c r="L20" s="47"/>
      <c r="M20" s="58"/>
    </row>
    <row r="21" spans="1:13">
      <c r="A21" s="47"/>
      <c r="B21" s="54"/>
      <c r="C21" s="54"/>
      <c r="D21" s="47"/>
      <c r="E21" s="7">
        <v>4</v>
      </c>
      <c r="F21" s="5">
        <v>9.64</v>
      </c>
      <c r="G21" s="5">
        <v>1.4</v>
      </c>
      <c r="H21" s="5" t="s">
        <v>19</v>
      </c>
      <c r="I21" s="5"/>
      <c r="J21" s="47"/>
      <c r="K21" s="58"/>
      <c r="L21" s="47"/>
      <c r="M21" s="58"/>
    </row>
    <row r="22" spans="1:13" ht="15.75" thickBot="1">
      <c r="A22" s="48"/>
      <c r="B22" s="55"/>
      <c r="C22" s="55"/>
      <c r="D22" s="48"/>
      <c r="E22" s="10">
        <v>5</v>
      </c>
      <c r="F22" s="11">
        <v>9.66</v>
      </c>
      <c r="G22" s="11">
        <v>1.4</v>
      </c>
      <c r="H22" s="11" t="s">
        <v>19</v>
      </c>
      <c r="I22" s="11"/>
      <c r="J22" s="48"/>
      <c r="K22" s="59"/>
      <c r="L22" s="48"/>
      <c r="M22" s="59"/>
    </row>
    <row r="23" spans="1:13">
      <c r="A23" s="46">
        <v>5</v>
      </c>
      <c r="B23" s="53">
        <v>5</v>
      </c>
      <c r="C23" s="53" t="s">
        <v>14</v>
      </c>
      <c r="D23" s="46" t="s">
        <v>23</v>
      </c>
      <c r="E23" s="8">
        <v>1</v>
      </c>
      <c r="F23" s="9">
        <v>10.81</v>
      </c>
      <c r="G23" s="9">
        <v>1.4</v>
      </c>
      <c r="H23" s="5" t="s">
        <v>16</v>
      </c>
      <c r="I23" s="9">
        <v>32.75</v>
      </c>
      <c r="J23" s="47">
        <f t="shared" ref="J23" si="12">AVERAGE(F23:F27)</f>
        <v>9.0939999999999994</v>
      </c>
      <c r="K23" s="58">
        <f t="shared" ref="K23" si="13">STDEV(F23:F27)/SQRT(5)</f>
        <v>0.72139171051516782</v>
      </c>
      <c r="L23" s="47">
        <f t="shared" ref="L23" si="14">AVERAGE(G23:G27)</f>
        <v>1.3599999999999999</v>
      </c>
      <c r="M23" s="58">
        <f t="shared" ref="M23" si="15">STDEV(G23:G27)/SQRT(5)</f>
        <v>8.1240384046360054E-2</v>
      </c>
    </row>
    <row r="24" spans="1:13">
      <c r="A24" s="47"/>
      <c r="B24" s="54"/>
      <c r="C24" s="54"/>
      <c r="D24" s="47"/>
      <c r="E24" s="7">
        <v>2</v>
      </c>
      <c r="F24" s="5">
        <v>7.41</v>
      </c>
      <c r="G24" s="5">
        <v>1.6</v>
      </c>
      <c r="H24" s="5" t="s">
        <v>17</v>
      </c>
      <c r="I24" s="5">
        <v>40.79</v>
      </c>
      <c r="J24" s="47"/>
      <c r="K24" s="58"/>
      <c r="L24" s="47"/>
      <c r="M24" s="58"/>
    </row>
    <row r="25" spans="1:13">
      <c r="A25" s="47"/>
      <c r="B25" s="54"/>
      <c r="C25" s="54"/>
      <c r="D25" s="47"/>
      <c r="E25" s="7">
        <v>3</v>
      </c>
      <c r="F25" s="5">
        <v>9.77</v>
      </c>
      <c r="G25" s="5">
        <v>1.4</v>
      </c>
      <c r="H25" s="5" t="s">
        <v>18</v>
      </c>
      <c r="I25" s="5">
        <v>21.86</v>
      </c>
      <c r="J25" s="47"/>
      <c r="K25" s="58"/>
      <c r="L25" s="47"/>
      <c r="M25" s="58"/>
    </row>
    <row r="26" spans="1:13">
      <c r="A26" s="47"/>
      <c r="B26" s="54"/>
      <c r="C26" s="54"/>
      <c r="D26" s="47"/>
      <c r="E26" s="7">
        <v>4</v>
      </c>
      <c r="F26" s="5">
        <v>10.14</v>
      </c>
      <c r="G26" s="5">
        <v>1.1000000000000001</v>
      </c>
      <c r="H26" s="5" t="s">
        <v>19</v>
      </c>
      <c r="I26" s="5"/>
      <c r="J26" s="47"/>
      <c r="K26" s="58"/>
      <c r="L26" s="47"/>
      <c r="M26" s="58"/>
    </row>
    <row r="27" spans="1:13" ht="15.75" thickBot="1">
      <c r="A27" s="48"/>
      <c r="B27" s="55"/>
      <c r="C27" s="55"/>
      <c r="D27" s="48"/>
      <c r="E27" s="10">
        <v>5</v>
      </c>
      <c r="F27" s="11">
        <v>7.34</v>
      </c>
      <c r="G27" s="11">
        <v>1.3</v>
      </c>
      <c r="H27" s="11" t="s">
        <v>19</v>
      </c>
      <c r="I27" s="11"/>
      <c r="J27" s="48"/>
      <c r="K27" s="59"/>
      <c r="L27" s="48"/>
      <c r="M27" s="59"/>
    </row>
    <row r="28" spans="1:13">
      <c r="A28" s="46">
        <v>6</v>
      </c>
      <c r="B28" s="53">
        <v>6</v>
      </c>
      <c r="C28" s="53" t="s">
        <v>14</v>
      </c>
      <c r="D28" s="46" t="s">
        <v>24</v>
      </c>
      <c r="E28" s="8">
        <v>1</v>
      </c>
      <c r="F28" s="9">
        <v>14.26</v>
      </c>
      <c r="G28" s="9">
        <v>1.1000000000000001</v>
      </c>
      <c r="H28" s="5" t="s">
        <v>16</v>
      </c>
      <c r="I28" s="5">
        <v>33.340000000000003</v>
      </c>
      <c r="J28" s="47">
        <f t="shared" ref="J28" si="16">AVERAGE(F28:F32)</f>
        <v>9.2420000000000009</v>
      </c>
      <c r="K28" s="58">
        <f t="shared" ref="K28" si="17">STDEV(F28:F32)/SQRT(5)</f>
        <v>1.5114211855072024</v>
      </c>
      <c r="L28" s="47">
        <f t="shared" ref="L28" si="18">AVERAGE(G28:G32)</f>
        <v>1.2</v>
      </c>
      <c r="M28" s="58">
        <f t="shared" ref="M28" si="19">STDEV(G28:G32)/SQRT(5)</f>
        <v>5.4772255750516578E-2</v>
      </c>
    </row>
    <row r="29" spans="1:13">
      <c r="A29" s="47"/>
      <c r="B29" s="54"/>
      <c r="C29" s="54"/>
      <c r="D29" s="47"/>
      <c r="E29" s="7">
        <v>2</v>
      </c>
      <c r="F29" s="5">
        <v>9.75</v>
      </c>
      <c r="G29" s="5">
        <v>1.1000000000000001</v>
      </c>
      <c r="H29" s="5" t="s">
        <v>17</v>
      </c>
      <c r="I29" s="5">
        <v>38.89</v>
      </c>
      <c r="J29" s="47"/>
      <c r="K29" s="58"/>
      <c r="L29" s="47"/>
      <c r="M29" s="58"/>
    </row>
    <row r="30" spans="1:13">
      <c r="A30" s="47"/>
      <c r="B30" s="54"/>
      <c r="C30" s="54"/>
      <c r="D30" s="47"/>
      <c r="E30" s="7">
        <v>3</v>
      </c>
      <c r="F30" s="5">
        <v>6.17</v>
      </c>
      <c r="G30" s="5">
        <v>1.2</v>
      </c>
      <c r="H30" s="5" t="s">
        <v>18</v>
      </c>
      <c r="I30" s="5">
        <v>18.89</v>
      </c>
      <c r="J30" s="47"/>
      <c r="K30" s="58"/>
      <c r="L30" s="47"/>
      <c r="M30" s="58"/>
    </row>
    <row r="31" spans="1:13">
      <c r="A31" s="47"/>
      <c r="B31" s="54"/>
      <c r="C31" s="54"/>
      <c r="D31" s="47"/>
      <c r="E31" s="7">
        <v>4</v>
      </c>
      <c r="F31" s="5">
        <v>6.04</v>
      </c>
      <c r="G31" s="5">
        <v>1.2</v>
      </c>
      <c r="H31" s="5" t="s">
        <v>19</v>
      </c>
      <c r="J31" s="47"/>
      <c r="K31" s="58"/>
      <c r="L31" s="47"/>
      <c r="M31" s="58"/>
    </row>
    <row r="32" spans="1:13" ht="15.75" thickBot="1">
      <c r="A32" s="48"/>
      <c r="B32" s="55"/>
      <c r="C32" s="55"/>
      <c r="D32" s="48"/>
      <c r="E32" s="10">
        <v>5</v>
      </c>
      <c r="F32" s="11">
        <v>9.99</v>
      </c>
      <c r="G32" s="11">
        <v>1.4</v>
      </c>
      <c r="H32" s="11" t="s">
        <v>19</v>
      </c>
      <c r="I32" s="11"/>
      <c r="J32" s="48"/>
      <c r="K32" s="59"/>
      <c r="L32" s="48"/>
      <c r="M32" s="59"/>
    </row>
    <row r="33" spans="1:13">
      <c r="A33" s="46">
        <v>7</v>
      </c>
      <c r="B33" s="53">
        <v>7</v>
      </c>
      <c r="C33" s="53" t="s">
        <v>14</v>
      </c>
      <c r="D33" s="46" t="s">
        <v>25</v>
      </c>
      <c r="E33" s="8">
        <v>1</v>
      </c>
      <c r="F33" s="9">
        <v>9.32</v>
      </c>
      <c r="G33" s="9">
        <v>1.8</v>
      </c>
      <c r="H33" s="5" t="s">
        <v>16</v>
      </c>
      <c r="I33" s="9">
        <v>39.22</v>
      </c>
      <c r="J33" s="47">
        <f t="shared" ref="J33" si="20">AVERAGE(F33:F37)</f>
        <v>8.370000000000001</v>
      </c>
      <c r="K33" s="58">
        <f t="shared" ref="K33" si="21">STDEV(F33:F37)/SQRT(5)</f>
        <v>1.5621395584261966</v>
      </c>
      <c r="L33" s="47">
        <f t="shared" ref="L33" si="22">AVERAGE(G33:G37)</f>
        <v>1.44</v>
      </c>
      <c r="M33" s="58">
        <f t="shared" ref="M33" si="23">STDEV(G33:G37)/SQRT(5)</f>
        <v>0.11224972160321837</v>
      </c>
    </row>
    <row r="34" spans="1:13">
      <c r="A34" s="47"/>
      <c r="B34" s="54"/>
      <c r="C34" s="54"/>
      <c r="D34" s="47"/>
      <c r="E34" s="7">
        <v>2</v>
      </c>
      <c r="F34" s="5">
        <v>7.7</v>
      </c>
      <c r="G34" s="5">
        <v>1.6</v>
      </c>
      <c r="H34" s="5" t="s">
        <v>17</v>
      </c>
      <c r="I34" s="5">
        <v>41.78</v>
      </c>
      <c r="J34" s="47"/>
      <c r="K34" s="58"/>
      <c r="L34" s="47"/>
      <c r="M34" s="58"/>
    </row>
    <row r="35" spans="1:13">
      <c r="A35" s="47"/>
      <c r="B35" s="54"/>
      <c r="C35" s="54"/>
      <c r="D35" s="47"/>
      <c r="E35" s="7">
        <v>3</v>
      </c>
      <c r="F35" s="5">
        <v>13.87</v>
      </c>
      <c r="G35" s="5">
        <v>1.3</v>
      </c>
      <c r="H35" s="5" t="s">
        <v>18</v>
      </c>
      <c r="I35" s="5">
        <v>25.52</v>
      </c>
      <c r="J35" s="47"/>
      <c r="K35" s="58"/>
      <c r="L35" s="47"/>
      <c r="M35" s="58"/>
    </row>
    <row r="36" spans="1:13">
      <c r="A36" s="47"/>
      <c r="B36" s="54"/>
      <c r="C36" s="54"/>
      <c r="D36" s="47"/>
      <c r="E36" s="7">
        <v>4</v>
      </c>
      <c r="F36" s="5">
        <v>5.98</v>
      </c>
      <c r="G36" s="5">
        <v>1.3</v>
      </c>
      <c r="H36" s="5" t="s">
        <v>19</v>
      </c>
      <c r="I36" s="5"/>
      <c r="J36" s="47"/>
      <c r="K36" s="58"/>
      <c r="L36" s="47"/>
      <c r="M36" s="58"/>
    </row>
    <row r="37" spans="1:13" ht="15.75" thickBot="1">
      <c r="A37" s="48"/>
      <c r="B37" s="55"/>
      <c r="C37" s="55"/>
      <c r="D37" s="48"/>
      <c r="E37" s="10">
        <v>5</v>
      </c>
      <c r="F37" s="11">
        <v>4.9800000000000004</v>
      </c>
      <c r="G37" s="11">
        <v>1.2</v>
      </c>
      <c r="H37" s="11" t="s">
        <v>19</v>
      </c>
      <c r="I37" s="11"/>
      <c r="J37" s="48"/>
      <c r="K37" s="59"/>
      <c r="L37" s="48"/>
      <c r="M37" s="59"/>
    </row>
    <row r="38" spans="1:13">
      <c r="A38" s="46">
        <v>8</v>
      </c>
      <c r="B38" s="53">
        <v>8</v>
      </c>
      <c r="C38" s="53" t="s">
        <v>14</v>
      </c>
      <c r="D38" s="46" t="s">
        <v>26</v>
      </c>
      <c r="E38" s="8">
        <v>1</v>
      </c>
      <c r="F38" s="9">
        <v>12.83</v>
      </c>
      <c r="G38" s="9">
        <v>1.2</v>
      </c>
      <c r="H38" s="5" t="s">
        <v>16</v>
      </c>
      <c r="I38" s="9">
        <v>32.130000000000003</v>
      </c>
      <c r="J38" s="47">
        <f t="shared" ref="J38" si="24">AVERAGE(F38:F42)</f>
        <v>10.757999999999999</v>
      </c>
      <c r="K38" s="58">
        <f t="shared" ref="K38" si="25">STDEV(F38:F42)/SQRT(5)</f>
        <v>0.6192366268237095</v>
      </c>
      <c r="L38" s="47">
        <f t="shared" ref="L38" si="26">AVERAGE(G38:G42)</f>
        <v>1.5400000000000003</v>
      </c>
      <c r="M38" s="58">
        <f t="shared" ref="M38" si="27">STDEV(G38:G42)/SQRT(5)</f>
        <v>9.2736184954956238E-2</v>
      </c>
    </row>
    <row r="39" spans="1:13">
      <c r="A39" s="47"/>
      <c r="B39" s="54"/>
      <c r="C39" s="54"/>
      <c r="D39" s="47"/>
      <c r="E39" s="7">
        <v>2</v>
      </c>
      <c r="F39" s="5">
        <v>10.29</v>
      </c>
      <c r="G39" s="5">
        <v>1.5</v>
      </c>
      <c r="H39" s="5" t="s">
        <v>17</v>
      </c>
      <c r="I39" s="5">
        <v>37.82</v>
      </c>
      <c r="J39" s="47"/>
      <c r="K39" s="58"/>
      <c r="L39" s="47"/>
      <c r="M39" s="58"/>
    </row>
    <row r="40" spans="1:13">
      <c r="A40" s="47"/>
      <c r="B40" s="54"/>
      <c r="C40" s="54"/>
      <c r="D40" s="47"/>
      <c r="E40" s="7">
        <v>3</v>
      </c>
      <c r="F40" s="5">
        <v>9.23</v>
      </c>
      <c r="G40" s="5">
        <v>1.7</v>
      </c>
      <c r="H40" s="5" t="s">
        <v>18</v>
      </c>
      <c r="I40" s="5">
        <v>17.7</v>
      </c>
      <c r="J40" s="47"/>
      <c r="K40" s="58"/>
      <c r="L40" s="47"/>
      <c r="M40" s="58"/>
    </row>
    <row r="41" spans="1:13">
      <c r="A41" s="47"/>
      <c r="B41" s="54"/>
      <c r="C41" s="54"/>
      <c r="D41" s="47"/>
      <c r="E41" s="7">
        <v>4</v>
      </c>
      <c r="F41" s="5">
        <v>11.36</v>
      </c>
      <c r="G41" s="5">
        <v>1.7</v>
      </c>
      <c r="H41" s="5" t="s">
        <v>19</v>
      </c>
      <c r="I41" s="5"/>
      <c r="J41" s="47"/>
      <c r="K41" s="58"/>
      <c r="L41" s="47"/>
      <c r="M41" s="58"/>
    </row>
    <row r="42" spans="1:13" ht="15.75" thickBot="1">
      <c r="A42" s="48"/>
      <c r="B42" s="55"/>
      <c r="C42" s="55"/>
      <c r="D42" s="48"/>
      <c r="E42" s="10">
        <v>5</v>
      </c>
      <c r="F42" s="11">
        <v>10.08</v>
      </c>
      <c r="G42" s="11">
        <v>1.6</v>
      </c>
      <c r="H42" s="11" t="s">
        <v>19</v>
      </c>
      <c r="I42" s="11"/>
      <c r="J42" s="48"/>
      <c r="K42" s="59"/>
      <c r="L42" s="48"/>
      <c r="M42" s="59"/>
    </row>
    <row r="43" spans="1:13">
      <c r="A43" s="46">
        <v>9</v>
      </c>
      <c r="B43" s="53">
        <v>9</v>
      </c>
      <c r="C43" s="53" t="s">
        <v>14</v>
      </c>
      <c r="D43" s="46" t="s">
        <v>27</v>
      </c>
      <c r="E43" s="8">
        <v>1</v>
      </c>
      <c r="F43" s="9">
        <v>8.34</v>
      </c>
      <c r="G43" s="9">
        <v>1.4</v>
      </c>
      <c r="H43" s="5" t="s">
        <v>16</v>
      </c>
      <c r="I43" s="9">
        <v>30.59</v>
      </c>
      <c r="J43" s="47">
        <f t="shared" ref="J43" si="28">AVERAGE(F43:F47)</f>
        <v>7.55</v>
      </c>
      <c r="K43" s="58">
        <f t="shared" ref="K43" si="29">STDEV(F43:F47)/SQRT(5)</f>
        <v>0.76189238085178401</v>
      </c>
      <c r="L43" s="47">
        <f t="shared" ref="L43" si="30">AVERAGE(G43:G47)</f>
        <v>1.52</v>
      </c>
      <c r="M43" s="58">
        <f t="shared" ref="M43" si="31">STDEV(G43:G47)/SQRT(5)</f>
        <v>9.6953597148326284E-2</v>
      </c>
    </row>
    <row r="44" spans="1:13">
      <c r="A44" s="47"/>
      <c r="B44" s="54"/>
      <c r="C44" s="54"/>
      <c r="D44" s="47"/>
      <c r="E44" s="7">
        <v>2</v>
      </c>
      <c r="F44" s="5">
        <v>4.8600000000000003</v>
      </c>
      <c r="G44" s="5">
        <v>1.6</v>
      </c>
      <c r="H44" s="5" t="s">
        <v>17</v>
      </c>
      <c r="I44" s="5">
        <v>39.369999999999997</v>
      </c>
      <c r="J44" s="47"/>
      <c r="K44" s="58"/>
      <c r="L44" s="47"/>
      <c r="M44" s="58"/>
    </row>
    <row r="45" spans="1:13">
      <c r="A45" s="47"/>
      <c r="B45" s="54"/>
      <c r="C45" s="54"/>
      <c r="D45" s="47"/>
      <c r="E45" s="7">
        <v>3</v>
      </c>
      <c r="F45" s="5">
        <v>7.21</v>
      </c>
      <c r="G45" s="5">
        <v>1.7</v>
      </c>
      <c r="H45" s="5" t="s">
        <v>18</v>
      </c>
      <c r="I45" s="5">
        <v>20.309999999999999</v>
      </c>
      <c r="J45" s="47"/>
      <c r="K45" s="58"/>
      <c r="L45" s="47"/>
      <c r="M45" s="58"/>
    </row>
    <row r="46" spans="1:13">
      <c r="A46" s="47"/>
      <c r="B46" s="54"/>
      <c r="C46" s="54"/>
      <c r="D46" s="47"/>
      <c r="E46" s="7">
        <v>4</v>
      </c>
      <c r="F46" s="5">
        <v>9.42</v>
      </c>
      <c r="G46" s="5">
        <v>1.7</v>
      </c>
      <c r="H46" s="5" t="s">
        <v>19</v>
      </c>
      <c r="I46" s="5"/>
      <c r="J46" s="47"/>
      <c r="K46" s="58"/>
      <c r="L46" s="47"/>
      <c r="M46" s="58"/>
    </row>
    <row r="47" spans="1:13" ht="15.75" thickBot="1">
      <c r="A47" s="48"/>
      <c r="B47" s="55"/>
      <c r="C47" s="55"/>
      <c r="D47" s="48"/>
      <c r="E47" s="10">
        <v>5</v>
      </c>
      <c r="F47" s="11">
        <v>7.92</v>
      </c>
      <c r="G47" s="11">
        <v>1.2</v>
      </c>
      <c r="H47" s="11" t="s">
        <v>19</v>
      </c>
      <c r="I47" s="11"/>
      <c r="J47" s="48"/>
      <c r="K47" s="59"/>
      <c r="L47" s="48"/>
      <c r="M47" s="59"/>
    </row>
    <row r="48" spans="1:13">
      <c r="A48" s="46">
        <v>10</v>
      </c>
      <c r="B48" s="53">
        <v>10</v>
      </c>
      <c r="C48" s="53" t="s">
        <v>14</v>
      </c>
      <c r="D48" s="46" t="s">
        <v>28</v>
      </c>
      <c r="E48" s="8">
        <v>1</v>
      </c>
      <c r="F48" s="9">
        <v>22.08</v>
      </c>
      <c r="G48" s="9">
        <v>2</v>
      </c>
      <c r="H48" s="5" t="s">
        <v>16</v>
      </c>
      <c r="I48" s="9">
        <v>30.54</v>
      </c>
      <c r="J48" s="47">
        <f t="shared" ref="J48" si="32">AVERAGE(F48:F52)</f>
        <v>11.877999999999998</v>
      </c>
      <c r="K48" s="58">
        <f t="shared" ref="K48" si="33">STDEV(F48:F52)/SQRT(5)</f>
        <v>2.7901566264279869</v>
      </c>
      <c r="L48" s="47">
        <f t="shared" ref="L48" si="34">AVERAGE(G48:G52)</f>
        <v>1.5399999999999998</v>
      </c>
      <c r="M48" s="58">
        <f t="shared" ref="M48" si="35">STDEV(G48:G52)/SQRT(5)</f>
        <v>0.14000000000000054</v>
      </c>
    </row>
    <row r="49" spans="1:13">
      <c r="A49" s="47"/>
      <c r="B49" s="54"/>
      <c r="C49" s="54"/>
      <c r="D49" s="47"/>
      <c r="E49" s="7">
        <v>2</v>
      </c>
      <c r="F49" s="5">
        <v>7.01</v>
      </c>
      <c r="G49" s="5">
        <v>1.2</v>
      </c>
      <c r="H49" s="5" t="s">
        <v>17</v>
      </c>
      <c r="I49" s="5">
        <v>32.96</v>
      </c>
      <c r="J49" s="47"/>
      <c r="K49" s="58"/>
      <c r="L49" s="47"/>
      <c r="M49" s="58"/>
    </row>
    <row r="50" spans="1:13">
      <c r="A50" s="47"/>
      <c r="B50" s="54"/>
      <c r="C50" s="54"/>
      <c r="D50" s="47"/>
      <c r="E50" s="7">
        <v>3</v>
      </c>
      <c r="F50" s="5">
        <v>7.37</v>
      </c>
      <c r="G50" s="5">
        <v>1.3</v>
      </c>
      <c r="H50" s="5" t="s">
        <v>18</v>
      </c>
      <c r="I50" s="5">
        <v>16.27</v>
      </c>
      <c r="J50" s="47"/>
      <c r="K50" s="58"/>
      <c r="L50" s="47"/>
      <c r="M50" s="58"/>
    </row>
    <row r="51" spans="1:13">
      <c r="A51" s="47"/>
      <c r="B51" s="54"/>
      <c r="C51" s="54"/>
      <c r="D51" s="47"/>
      <c r="E51" s="7">
        <v>4</v>
      </c>
      <c r="F51" s="5">
        <v>9.56</v>
      </c>
      <c r="G51" s="5">
        <v>1.6</v>
      </c>
      <c r="H51" s="5" t="s">
        <v>19</v>
      </c>
      <c r="I51" s="5"/>
      <c r="J51" s="47"/>
      <c r="K51" s="58"/>
      <c r="L51" s="47"/>
      <c r="M51" s="58"/>
    </row>
    <row r="52" spans="1:13" ht="15.75" thickBot="1">
      <c r="A52" s="48"/>
      <c r="B52" s="55"/>
      <c r="C52" s="55"/>
      <c r="D52" s="48"/>
      <c r="E52" s="10">
        <v>5</v>
      </c>
      <c r="F52" s="11">
        <v>13.37</v>
      </c>
      <c r="G52" s="11">
        <v>1.6</v>
      </c>
      <c r="H52" s="11" t="s">
        <v>19</v>
      </c>
      <c r="I52" s="11"/>
      <c r="J52" s="48"/>
      <c r="K52" s="59"/>
      <c r="L52" s="48"/>
      <c r="M52" s="59"/>
    </row>
    <row r="53" spans="1:13">
      <c r="A53" s="46">
        <v>11</v>
      </c>
      <c r="B53" s="53">
        <v>11</v>
      </c>
      <c r="C53" s="53" t="s">
        <v>14</v>
      </c>
      <c r="D53" s="46" t="s">
        <v>29</v>
      </c>
      <c r="E53" s="8">
        <v>1</v>
      </c>
      <c r="F53" s="9">
        <v>8.68</v>
      </c>
      <c r="G53" s="9">
        <v>1.2</v>
      </c>
      <c r="H53" s="5" t="s">
        <v>16</v>
      </c>
      <c r="I53" s="9">
        <v>35.869999999999997</v>
      </c>
      <c r="J53" s="47">
        <f t="shared" ref="J53" si="36">AVERAGE(F53:F57)</f>
        <v>11.256</v>
      </c>
      <c r="K53" s="58">
        <f t="shared" ref="K53" si="37">STDEV(F53:F57)/SQRT(5)</f>
        <v>1.7758958302783407</v>
      </c>
      <c r="L53" s="47">
        <f t="shared" ref="L53" si="38">AVERAGE(G53:G57)</f>
        <v>1.1000000000000001</v>
      </c>
      <c r="M53" s="58">
        <f t="shared" ref="M53" si="39">STDEV(G53:G57)/SQRT(5)</f>
        <v>4.472135954999578E-2</v>
      </c>
    </row>
    <row r="54" spans="1:13">
      <c r="A54" s="47"/>
      <c r="B54" s="54"/>
      <c r="C54" s="54"/>
      <c r="D54" s="47"/>
      <c r="E54" s="7">
        <v>2</v>
      </c>
      <c r="F54" s="5">
        <v>15.29</v>
      </c>
      <c r="G54" s="5">
        <v>1</v>
      </c>
      <c r="H54" s="5" t="s">
        <v>17</v>
      </c>
      <c r="I54" s="5">
        <v>39.92</v>
      </c>
      <c r="J54" s="47"/>
      <c r="K54" s="58"/>
      <c r="L54" s="47"/>
      <c r="M54" s="58"/>
    </row>
    <row r="55" spans="1:13">
      <c r="A55" s="47"/>
      <c r="B55" s="54"/>
      <c r="C55" s="54"/>
      <c r="D55" s="47"/>
      <c r="E55" s="7">
        <v>3</v>
      </c>
      <c r="F55" s="5">
        <v>15.7</v>
      </c>
      <c r="G55" s="5">
        <v>1</v>
      </c>
      <c r="H55" s="5" t="s">
        <v>18</v>
      </c>
      <c r="I55" s="5">
        <v>24.51</v>
      </c>
      <c r="J55" s="47"/>
      <c r="K55" s="58"/>
      <c r="L55" s="47"/>
      <c r="M55" s="58"/>
    </row>
    <row r="56" spans="1:13">
      <c r="A56" s="47"/>
      <c r="B56" s="54"/>
      <c r="C56" s="54"/>
      <c r="D56" s="47"/>
      <c r="E56" s="7">
        <v>4</v>
      </c>
      <c r="F56" s="5">
        <v>7.08</v>
      </c>
      <c r="G56" s="5">
        <v>1.1000000000000001</v>
      </c>
      <c r="H56" s="5" t="s">
        <v>19</v>
      </c>
      <c r="I56" s="5"/>
      <c r="J56" s="47"/>
      <c r="K56" s="58"/>
      <c r="L56" s="47"/>
      <c r="M56" s="58"/>
    </row>
    <row r="57" spans="1:13" ht="15.75" thickBot="1">
      <c r="A57" s="48"/>
      <c r="B57" s="55"/>
      <c r="C57" s="55"/>
      <c r="D57" s="48"/>
      <c r="E57" s="10">
        <v>5</v>
      </c>
      <c r="F57" s="11">
        <v>9.5299999999999994</v>
      </c>
      <c r="G57" s="11">
        <v>1.2</v>
      </c>
      <c r="H57" s="11" t="s">
        <v>19</v>
      </c>
      <c r="I57" s="11"/>
      <c r="J57" s="48"/>
      <c r="K57" s="59"/>
      <c r="L57" s="48"/>
      <c r="M57" s="59"/>
    </row>
    <row r="58" spans="1:13">
      <c r="A58" s="46">
        <v>12</v>
      </c>
      <c r="B58" s="53">
        <v>12</v>
      </c>
      <c r="C58" s="53" t="s">
        <v>14</v>
      </c>
      <c r="D58" s="46" t="s">
        <v>30</v>
      </c>
      <c r="E58" s="8">
        <v>1</v>
      </c>
      <c r="F58" s="9">
        <v>5.16</v>
      </c>
      <c r="G58" s="9">
        <v>1.1000000000000001</v>
      </c>
      <c r="H58" s="5" t="s">
        <v>16</v>
      </c>
      <c r="I58" s="9">
        <v>32.03</v>
      </c>
      <c r="J58" s="47">
        <f t="shared" ref="J58" si="40">AVERAGE(F58:F62)</f>
        <v>8.3800000000000008</v>
      </c>
      <c r="K58" s="58">
        <f t="shared" ref="K58" si="41">STDEV(F58:F62)/SQRT(5)</f>
        <v>0.97325741713073832</v>
      </c>
      <c r="L58" s="47">
        <f t="shared" ref="L58" si="42">AVERAGE(G58:G62)</f>
        <v>1.18</v>
      </c>
      <c r="M58" s="58">
        <f t="shared" ref="M58" si="43">STDEV(G58:G62)/SQRT(5)</f>
        <v>3.7416573867739396E-2</v>
      </c>
    </row>
    <row r="59" spans="1:13">
      <c r="A59" s="47"/>
      <c r="B59" s="54"/>
      <c r="C59" s="54"/>
      <c r="D59" s="47"/>
      <c r="E59" s="7">
        <v>2</v>
      </c>
      <c r="F59" s="5">
        <v>9.4</v>
      </c>
      <c r="G59" s="5">
        <v>1.2</v>
      </c>
      <c r="H59" s="5" t="s">
        <v>17</v>
      </c>
      <c r="I59" s="5">
        <v>40.85</v>
      </c>
      <c r="J59" s="47"/>
      <c r="K59" s="58"/>
      <c r="L59" s="47"/>
      <c r="M59" s="58"/>
    </row>
    <row r="60" spans="1:13">
      <c r="A60" s="47"/>
      <c r="B60" s="54"/>
      <c r="C60" s="54"/>
      <c r="D60" s="47"/>
      <c r="E60" s="7">
        <v>3</v>
      </c>
      <c r="F60" s="5">
        <v>7.63</v>
      </c>
      <c r="G60" s="5">
        <v>1.3</v>
      </c>
      <c r="H60" s="5" t="s">
        <v>18</v>
      </c>
      <c r="I60" s="5">
        <v>19.559999999999999</v>
      </c>
      <c r="J60" s="47"/>
      <c r="K60" s="58"/>
      <c r="L60" s="47"/>
      <c r="M60" s="58"/>
    </row>
    <row r="61" spans="1:13">
      <c r="A61" s="47"/>
      <c r="B61" s="54"/>
      <c r="C61" s="54"/>
      <c r="D61" s="47"/>
      <c r="E61" s="7">
        <v>4</v>
      </c>
      <c r="F61" s="5">
        <v>8.7100000000000009</v>
      </c>
      <c r="G61" s="5">
        <v>1.1000000000000001</v>
      </c>
      <c r="H61" s="5" t="s">
        <v>19</v>
      </c>
      <c r="I61" s="5"/>
      <c r="J61" s="47"/>
      <c r="K61" s="58"/>
      <c r="L61" s="47"/>
      <c r="M61" s="58"/>
    </row>
    <row r="62" spans="1:13" ht="15.75" thickBot="1">
      <c r="A62" s="48"/>
      <c r="B62" s="55"/>
      <c r="C62" s="55"/>
      <c r="D62" s="48"/>
      <c r="E62" s="10">
        <v>5</v>
      </c>
      <c r="F62" s="11">
        <v>11</v>
      </c>
      <c r="G62" s="11">
        <v>1.2</v>
      </c>
      <c r="H62" s="11" t="s">
        <v>19</v>
      </c>
      <c r="I62" s="11"/>
      <c r="J62" s="48"/>
      <c r="K62" s="59"/>
      <c r="L62" s="48"/>
      <c r="M62" s="59"/>
    </row>
    <row r="63" spans="1:13">
      <c r="A63" s="46">
        <v>13</v>
      </c>
      <c r="B63" s="53">
        <v>13</v>
      </c>
      <c r="C63" s="53" t="s">
        <v>14</v>
      </c>
      <c r="D63" s="46" t="s">
        <v>31</v>
      </c>
      <c r="E63" s="8">
        <v>1</v>
      </c>
      <c r="F63" s="9">
        <v>8.7799999999999994</v>
      </c>
      <c r="G63" s="9">
        <v>1.4</v>
      </c>
      <c r="H63" s="5" t="s">
        <v>16</v>
      </c>
      <c r="I63" s="9">
        <v>33.369999999999997</v>
      </c>
      <c r="J63" s="47">
        <f t="shared" ref="J63" si="44">AVERAGE(F63:F67)</f>
        <v>10.206</v>
      </c>
      <c r="K63" s="58">
        <f t="shared" ref="K63" si="45">STDEV(F63:F67)/SQRT(5)</f>
        <v>1.5295411076528811</v>
      </c>
      <c r="L63" s="47">
        <f t="shared" ref="L63" si="46">AVERAGE(G63:G67)</f>
        <v>1.2600000000000002</v>
      </c>
      <c r="M63" s="58">
        <f t="shared" ref="M63" si="47">STDEV(G63:G67)/SQRT(5)</f>
        <v>5.9999999999999963E-2</v>
      </c>
    </row>
    <row r="64" spans="1:13">
      <c r="A64" s="47"/>
      <c r="B64" s="54"/>
      <c r="C64" s="54"/>
      <c r="D64" s="47"/>
      <c r="E64" s="7">
        <v>2</v>
      </c>
      <c r="F64" s="5">
        <v>6.69</v>
      </c>
      <c r="G64" s="5">
        <v>1.2</v>
      </c>
      <c r="H64" s="5" t="s">
        <v>17</v>
      </c>
      <c r="I64" s="5">
        <v>37.32</v>
      </c>
      <c r="J64" s="47"/>
      <c r="K64" s="58"/>
      <c r="L64" s="47"/>
      <c r="M64" s="58"/>
    </row>
    <row r="65" spans="1:13">
      <c r="A65" s="47"/>
      <c r="B65" s="54"/>
      <c r="C65" s="54"/>
      <c r="D65" s="47"/>
      <c r="E65" s="7">
        <v>3</v>
      </c>
      <c r="F65" s="5">
        <v>15.78</v>
      </c>
      <c r="G65" s="5">
        <v>1.2</v>
      </c>
      <c r="H65" s="5" t="s">
        <v>18</v>
      </c>
      <c r="I65" s="5">
        <v>23.88</v>
      </c>
      <c r="J65" s="47"/>
      <c r="K65" s="58"/>
      <c r="L65" s="47"/>
      <c r="M65" s="58"/>
    </row>
    <row r="66" spans="1:13">
      <c r="A66" s="47"/>
      <c r="B66" s="54"/>
      <c r="C66" s="54"/>
      <c r="D66" s="47"/>
      <c r="E66" s="7">
        <v>4</v>
      </c>
      <c r="F66" s="5">
        <v>10.64</v>
      </c>
      <c r="G66" s="5">
        <v>1.1000000000000001</v>
      </c>
      <c r="H66" s="5" t="s">
        <v>19</v>
      </c>
      <c r="I66" s="5"/>
      <c r="J66" s="47"/>
      <c r="K66" s="58"/>
      <c r="L66" s="47"/>
      <c r="M66" s="58"/>
    </row>
    <row r="67" spans="1:13" ht="15.75" thickBot="1">
      <c r="A67" s="48"/>
      <c r="B67" s="55"/>
      <c r="C67" s="55"/>
      <c r="D67" s="48"/>
      <c r="E67" s="10">
        <v>5</v>
      </c>
      <c r="F67" s="11">
        <v>9.14</v>
      </c>
      <c r="G67" s="11">
        <v>1.4</v>
      </c>
      <c r="H67" s="11" t="s">
        <v>19</v>
      </c>
      <c r="I67" s="11"/>
      <c r="J67" s="48"/>
      <c r="K67" s="59"/>
      <c r="L67" s="48"/>
      <c r="M67" s="59"/>
    </row>
    <row r="68" spans="1:13">
      <c r="A68" s="46">
        <v>14</v>
      </c>
      <c r="B68" s="53">
        <v>14</v>
      </c>
      <c r="C68" s="53" t="s">
        <v>14</v>
      </c>
      <c r="D68" s="46" t="s">
        <v>32</v>
      </c>
      <c r="E68" s="8">
        <v>1</v>
      </c>
      <c r="F68" s="9">
        <v>10.32</v>
      </c>
      <c r="G68" s="9">
        <v>1.2</v>
      </c>
      <c r="H68" s="5" t="s">
        <v>16</v>
      </c>
      <c r="I68" s="9">
        <v>30.67</v>
      </c>
      <c r="J68" s="47">
        <f t="shared" ref="J68" si="48">AVERAGE(F68:F72)</f>
        <v>11.414000000000001</v>
      </c>
      <c r="K68" s="58">
        <f t="shared" ref="K68" si="49">STDEV(F68:F72)/SQRT(5)</f>
        <v>2.9563264366439634</v>
      </c>
      <c r="L68" s="47">
        <f t="shared" ref="L68" si="50">AVERAGE(G68:G72)</f>
        <v>1.2200000000000002</v>
      </c>
      <c r="M68" s="58">
        <f t="shared" ref="M68" si="51">STDEV(G68:G72)/SQRT(5)</f>
        <v>3.741657386773941E-2</v>
      </c>
    </row>
    <row r="69" spans="1:13">
      <c r="A69" s="47"/>
      <c r="B69" s="54"/>
      <c r="C69" s="54"/>
      <c r="D69" s="47"/>
      <c r="E69" s="7">
        <v>2</v>
      </c>
      <c r="F69" s="5">
        <v>6.55</v>
      </c>
      <c r="G69" s="5">
        <v>1.2</v>
      </c>
      <c r="H69" s="5" t="s">
        <v>17</v>
      </c>
      <c r="I69" s="5">
        <v>36.83</v>
      </c>
      <c r="J69" s="47"/>
      <c r="K69" s="58"/>
      <c r="L69" s="47"/>
      <c r="M69" s="58"/>
    </row>
    <row r="70" spans="1:13">
      <c r="A70" s="47"/>
      <c r="B70" s="54"/>
      <c r="C70" s="54"/>
      <c r="D70" s="47"/>
      <c r="E70" s="7">
        <v>3</v>
      </c>
      <c r="F70" s="5">
        <v>13.07</v>
      </c>
      <c r="G70" s="5">
        <v>1.3</v>
      </c>
      <c r="H70" s="5" t="s">
        <v>18</v>
      </c>
      <c r="I70" s="5">
        <v>20.43</v>
      </c>
      <c r="J70" s="47"/>
      <c r="K70" s="58"/>
      <c r="L70" s="47"/>
      <c r="M70" s="58"/>
    </row>
    <row r="71" spans="1:13">
      <c r="A71" s="47"/>
      <c r="B71" s="54"/>
      <c r="C71" s="54"/>
      <c r="D71" s="47"/>
      <c r="E71" s="7">
        <v>4</v>
      </c>
      <c r="F71" s="5">
        <v>5.26</v>
      </c>
      <c r="G71" s="5">
        <v>1.1000000000000001</v>
      </c>
      <c r="H71" s="5" t="s">
        <v>19</v>
      </c>
      <c r="I71" s="5"/>
      <c r="J71" s="47"/>
      <c r="K71" s="58"/>
      <c r="L71" s="47"/>
      <c r="M71" s="58"/>
    </row>
    <row r="72" spans="1:13" ht="15.75" thickBot="1">
      <c r="A72" s="48"/>
      <c r="B72" s="55"/>
      <c r="C72" s="55"/>
      <c r="D72" s="48"/>
      <c r="E72" s="10">
        <v>5</v>
      </c>
      <c r="F72" s="11">
        <v>21.87</v>
      </c>
      <c r="G72" s="11">
        <v>1.3</v>
      </c>
      <c r="H72" s="11" t="s">
        <v>19</v>
      </c>
      <c r="I72" s="11"/>
      <c r="J72" s="48"/>
      <c r="K72" s="59"/>
      <c r="L72" s="48"/>
      <c r="M72" s="59"/>
    </row>
    <row r="73" spans="1:13">
      <c r="A73" s="46">
        <v>15</v>
      </c>
      <c r="B73" s="53">
        <v>15</v>
      </c>
      <c r="C73" s="53" t="s">
        <v>14</v>
      </c>
      <c r="D73" s="46" t="s">
        <v>33</v>
      </c>
      <c r="E73" s="8">
        <v>1</v>
      </c>
      <c r="F73" s="9">
        <v>8.5</v>
      </c>
      <c r="G73" s="9">
        <v>1.1000000000000001</v>
      </c>
      <c r="H73" s="5" t="s">
        <v>16</v>
      </c>
      <c r="I73" s="9">
        <v>30.84</v>
      </c>
      <c r="J73" s="47">
        <f t="shared" ref="J73" si="52">AVERAGE(F73:F77)</f>
        <v>10.219999999999999</v>
      </c>
      <c r="K73" s="58">
        <f t="shared" ref="K73" si="53">STDEV(F73:F77)/SQRT(5)</f>
        <v>0.80347370834396536</v>
      </c>
      <c r="L73" s="47">
        <f t="shared" ref="L73" si="54">AVERAGE(G73:G77)</f>
        <v>1.1000000000000001</v>
      </c>
      <c r="M73" s="58">
        <f t="shared" ref="M73" si="55">STDEV(G73:G77)/SQRT(5)</f>
        <v>3.1622776601683784E-2</v>
      </c>
    </row>
    <row r="74" spans="1:13">
      <c r="A74" s="47"/>
      <c r="B74" s="54"/>
      <c r="C74" s="54"/>
      <c r="D74" s="47"/>
      <c r="E74" s="7">
        <v>2</v>
      </c>
      <c r="F74" s="5">
        <v>8.35</v>
      </c>
      <c r="G74" s="5">
        <v>1</v>
      </c>
      <c r="H74" s="5" t="s">
        <v>17</v>
      </c>
      <c r="I74" s="5">
        <v>37.200000000000003</v>
      </c>
      <c r="J74" s="47"/>
      <c r="K74" s="58"/>
      <c r="L74" s="47"/>
      <c r="M74" s="58"/>
    </row>
    <row r="75" spans="1:13">
      <c r="A75" s="47"/>
      <c r="B75" s="54"/>
      <c r="C75" s="54"/>
      <c r="D75" s="47"/>
      <c r="E75" s="7">
        <v>3</v>
      </c>
      <c r="F75" s="5">
        <v>12.58</v>
      </c>
      <c r="G75" s="5">
        <v>1.1000000000000001</v>
      </c>
      <c r="H75" s="5" t="s">
        <v>18</v>
      </c>
      <c r="I75" s="5">
        <v>18.41</v>
      </c>
      <c r="J75" s="47"/>
      <c r="K75" s="58"/>
      <c r="L75" s="47"/>
      <c r="M75" s="58"/>
    </row>
    <row r="76" spans="1:13">
      <c r="A76" s="47"/>
      <c r="B76" s="54"/>
      <c r="C76" s="54"/>
      <c r="D76" s="47"/>
      <c r="E76" s="7">
        <v>4</v>
      </c>
      <c r="F76" s="5">
        <v>10.58</v>
      </c>
      <c r="G76" s="5">
        <v>1.1000000000000001</v>
      </c>
      <c r="H76" s="5" t="s">
        <v>19</v>
      </c>
      <c r="I76" s="5"/>
      <c r="J76" s="47"/>
      <c r="K76" s="58"/>
      <c r="L76" s="47"/>
      <c r="M76" s="58"/>
    </row>
    <row r="77" spans="1:13" ht="15.75" thickBot="1">
      <c r="A77" s="48"/>
      <c r="B77" s="55"/>
      <c r="C77" s="55"/>
      <c r="D77" s="48"/>
      <c r="E77" s="10">
        <v>5</v>
      </c>
      <c r="F77" s="11">
        <v>11.09</v>
      </c>
      <c r="G77" s="11">
        <v>1.2</v>
      </c>
      <c r="H77" s="11" t="s">
        <v>19</v>
      </c>
      <c r="I77" s="11"/>
      <c r="J77" s="48"/>
      <c r="K77" s="59"/>
      <c r="L77" s="48"/>
      <c r="M77" s="59"/>
    </row>
    <row r="78" spans="1:13">
      <c r="A78" s="46">
        <v>16</v>
      </c>
      <c r="B78" s="53">
        <v>16</v>
      </c>
      <c r="C78" s="53" t="s">
        <v>14</v>
      </c>
      <c r="D78" s="46" t="s">
        <v>34</v>
      </c>
      <c r="E78" s="8">
        <v>1</v>
      </c>
      <c r="F78" s="9">
        <v>7.34</v>
      </c>
      <c r="G78" s="9">
        <v>1.3</v>
      </c>
      <c r="H78" s="5" t="s">
        <v>16</v>
      </c>
      <c r="I78" s="9">
        <v>29.22</v>
      </c>
      <c r="J78" s="47">
        <f t="shared" ref="J78" si="56">AVERAGE(F78:F82)</f>
        <v>10.012</v>
      </c>
      <c r="K78" s="58">
        <f t="shared" ref="K78" si="57">STDEV(F78:F82)/SQRT(5)</f>
        <v>1.2923753324789189</v>
      </c>
      <c r="L78" s="47">
        <f t="shared" ref="L78" si="58">AVERAGE(G78:G82)</f>
        <v>1.2600000000000002</v>
      </c>
      <c r="M78" s="58">
        <f t="shared" ref="M78" si="59">STDEV(G78:G82)/SQRT(5)</f>
        <v>5.0990195135927827E-2</v>
      </c>
    </row>
    <row r="79" spans="1:13">
      <c r="A79" s="47"/>
      <c r="B79" s="54"/>
      <c r="C79" s="54"/>
      <c r="D79" s="47"/>
      <c r="E79" s="7">
        <v>2</v>
      </c>
      <c r="F79" s="5">
        <v>9.27</v>
      </c>
      <c r="G79" s="5">
        <v>1.4</v>
      </c>
      <c r="H79" s="5" t="s">
        <v>17</v>
      </c>
      <c r="I79" s="5">
        <v>30.27</v>
      </c>
      <c r="J79" s="47"/>
      <c r="K79" s="58"/>
      <c r="L79" s="47"/>
      <c r="M79" s="58"/>
    </row>
    <row r="80" spans="1:13">
      <c r="A80" s="47"/>
      <c r="B80" s="54"/>
      <c r="C80" s="54"/>
      <c r="D80" s="47"/>
      <c r="E80" s="7">
        <v>3</v>
      </c>
      <c r="F80" s="5">
        <v>14.92</v>
      </c>
      <c r="G80" s="5">
        <v>1.1000000000000001</v>
      </c>
      <c r="H80" s="5" t="s">
        <v>18</v>
      </c>
      <c r="I80" s="5">
        <v>15</v>
      </c>
      <c r="J80" s="47"/>
      <c r="K80" s="58"/>
      <c r="L80" s="47"/>
      <c r="M80" s="58"/>
    </row>
    <row r="81" spans="1:13">
      <c r="A81" s="47"/>
      <c r="B81" s="54"/>
      <c r="C81" s="54"/>
      <c r="D81" s="47"/>
      <c r="E81" s="7">
        <v>4</v>
      </c>
      <c r="F81" s="5">
        <v>8.76</v>
      </c>
      <c r="G81" s="5">
        <v>1.3</v>
      </c>
      <c r="H81" s="5" t="s">
        <v>19</v>
      </c>
      <c r="I81" s="5"/>
      <c r="J81" s="47"/>
      <c r="K81" s="58"/>
      <c r="L81" s="47"/>
      <c r="M81" s="58"/>
    </row>
    <row r="82" spans="1:13" ht="15.75" thickBot="1">
      <c r="A82" s="48"/>
      <c r="B82" s="55"/>
      <c r="C82" s="55"/>
      <c r="D82" s="48"/>
      <c r="E82" s="10">
        <v>5</v>
      </c>
      <c r="F82" s="11">
        <v>9.77</v>
      </c>
      <c r="G82" s="11">
        <v>1.2</v>
      </c>
      <c r="H82" s="11" t="s">
        <v>19</v>
      </c>
      <c r="I82" s="11"/>
      <c r="J82" s="48"/>
      <c r="K82" s="59"/>
      <c r="L82" s="48"/>
      <c r="M82" s="59"/>
    </row>
    <row r="83" spans="1:13">
      <c r="A83" s="46">
        <v>17</v>
      </c>
      <c r="B83" s="46">
        <v>1</v>
      </c>
      <c r="C83" s="53" t="s">
        <v>35</v>
      </c>
      <c r="D83" s="46" t="s">
        <v>15</v>
      </c>
      <c r="E83" s="8">
        <v>1</v>
      </c>
      <c r="F83" s="9">
        <v>4.7300000000000004</v>
      </c>
      <c r="G83" s="9">
        <v>1.7</v>
      </c>
      <c r="H83" s="5" t="s">
        <v>16</v>
      </c>
      <c r="I83" s="9">
        <v>38.53</v>
      </c>
      <c r="J83" s="47">
        <f t="shared" ref="J83" si="60">AVERAGE(F83:F87)</f>
        <v>9.282</v>
      </c>
      <c r="K83" s="58">
        <f t="shared" ref="K83" si="61">STDEV(F83:F87)/SQRT(5)</f>
        <v>1.6597150357817467</v>
      </c>
      <c r="L83" s="47">
        <f t="shared" ref="L83" si="62">AVERAGE(G83:G87)</f>
        <v>1.3800000000000001</v>
      </c>
      <c r="M83" s="58">
        <f t="shared" ref="M83" si="63">STDEV(G83:G87)/SQRT(5)</f>
        <v>0.1280624847486565</v>
      </c>
    </row>
    <row r="84" spans="1:13">
      <c r="A84" s="47"/>
      <c r="B84" s="47"/>
      <c r="C84" s="54"/>
      <c r="D84" s="47"/>
      <c r="E84" s="7">
        <v>2</v>
      </c>
      <c r="F84" s="5">
        <v>13.13</v>
      </c>
      <c r="G84" s="5">
        <v>1.2</v>
      </c>
      <c r="H84" s="5" t="s">
        <v>17</v>
      </c>
      <c r="I84" s="5">
        <v>45.58</v>
      </c>
      <c r="J84" s="47"/>
      <c r="K84" s="58"/>
      <c r="L84" s="47"/>
      <c r="M84" s="58"/>
    </row>
    <row r="85" spans="1:13">
      <c r="A85" s="47"/>
      <c r="B85" s="47"/>
      <c r="C85" s="54"/>
      <c r="D85" s="47"/>
      <c r="E85" s="7">
        <v>3</v>
      </c>
      <c r="F85" s="5">
        <v>7.26</v>
      </c>
      <c r="G85" s="5">
        <v>1.6</v>
      </c>
      <c r="H85" s="5" t="s">
        <v>18</v>
      </c>
      <c r="I85" s="5">
        <v>31.45</v>
      </c>
      <c r="J85" s="47"/>
      <c r="K85" s="58"/>
      <c r="L85" s="47"/>
      <c r="M85" s="58"/>
    </row>
    <row r="86" spans="1:13">
      <c r="A86" s="47"/>
      <c r="B86" s="47"/>
      <c r="C86" s="54"/>
      <c r="D86" s="47"/>
      <c r="E86" s="7">
        <v>4</v>
      </c>
      <c r="F86" s="5">
        <v>13.07</v>
      </c>
      <c r="G86" s="5">
        <v>1</v>
      </c>
      <c r="H86" s="5" t="s">
        <v>19</v>
      </c>
      <c r="I86" s="5"/>
      <c r="J86" s="47"/>
      <c r="K86" s="58"/>
      <c r="L86" s="47"/>
      <c r="M86" s="58"/>
    </row>
    <row r="87" spans="1:13" ht="15.75" thickBot="1">
      <c r="A87" s="48"/>
      <c r="B87" s="48"/>
      <c r="C87" s="55"/>
      <c r="D87" s="48"/>
      <c r="E87" s="10">
        <v>5</v>
      </c>
      <c r="F87" s="11">
        <v>8.2200000000000006</v>
      </c>
      <c r="G87" s="11">
        <v>1.4</v>
      </c>
      <c r="H87" s="11" t="s">
        <v>19</v>
      </c>
      <c r="I87" s="11"/>
      <c r="J87" s="48"/>
      <c r="K87" s="59"/>
      <c r="L87" s="48"/>
      <c r="M87" s="59"/>
    </row>
    <row r="88" spans="1:13">
      <c r="A88" s="46">
        <v>18</v>
      </c>
      <c r="B88" s="53">
        <v>2</v>
      </c>
      <c r="C88" s="53" t="s">
        <v>35</v>
      </c>
      <c r="D88" s="46" t="s">
        <v>20</v>
      </c>
      <c r="E88" s="8">
        <v>1</v>
      </c>
      <c r="F88" s="9">
        <v>15.89</v>
      </c>
      <c r="G88" s="9">
        <v>1.2</v>
      </c>
      <c r="H88" s="5" t="s">
        <v>16</v>
      </c>
      <c r="I88" s="9">
        <v>38.53</v>
      </c>
      <c r="J88" s="47">
        <f t="shared" ref="J88" si="64">AVERAGE(F88:F92)</f>
        <v>10.674000000000001</v>
      </c>
      <c r="K88" s="58">
        <f t="shared" ref="K88" si="65">STDEV(F88:F92)/SQRT(5)</f>
        <v>1.3655021054542518</v>
      </c>
      <c r="L88" s="47">
        <f t="shared" ref="L88" si="66">AVERAGE(G88:G92)</f>
        <v>1.3399999999999999</v>
      </c>
      <c r="M88" s="58">
        <f t="shared" ref="M88" si="67">STDEV(G88:G92)/SQRT(5)</f>
        <v>3.999999999999998E-2</v>
      </c>
    </row>
    <row r="89" spans="1:13">
      <c r="A89" s="47"/>
      <c r="B89" s="54"/>
      <c r="C89" s="54"/>
      <c r="D89" s="47"/>
      <c r="E89" s="7">
        <v>2</v>
      </c>
      <c r="F89" s="5">
        <v>9.14</v>
      </c>
      <c r="G89" s="5">
        <v>1.4</v>
      </c>
      <c r="H89" s="5" t="s">
        <v>17</v>
      </c>
      <c r="I89" s="5">
        <v>45.88</v>
      </c>
      <c r="J89" s="47"/>
      <c r="K89" s="58"/>
      <c r="L89" s="47"/>
      <c r="M89" s="58"/>
    </row>
    <row r="90" spans="1:13">
      <c r="A90" s="47"/>
      <c r="B90" s="54"/>
      <c r="C90" s="54"/>
      <c r="D90" s="47"/>
      <c r="E90" s="7">
        <v>3</v>
      </c>
      <c r="F90" s="5">
        <v>10.5</v>
      </c>
      <c r="G90" s="5">
        <v>1.3</v>
      </c>
      <c r="H90" s="5" t="s">
        <v>18</v>
      </c>
      <c r="I90" s="5">
        <v>31.45</v>
      </c>
      <c r="J90" s="47"/>
      <c r="K90" s="58"/>
      <c r="L90" s="47"/>
      <c r="M90" s="58"/>
    </row>
    <row r="91" spans="1:13">
      <c r="A91" s="47"/>
      <c r="B91" s="54"/>
      <c r="C91" s="54"/>
      <c r="D91" s="47"/>
      <c r="E91" s="7">
        <v>4</v>
      </c>
      <c r="F91" s="5">
        <v>8.0399999999999991</v>
      </c>
      <c r="G91" s="5">
        <v>1.4</v>
      </c>
      <c r="H91" s="5" t="s">
        <v>19</v>
      </c>
      <c r="I91" s="5"/>
      <c r="J91" s="47"/>
      <c r="K91" s="58"/>
      <c r="L91" s="47"/>
      <c r="M91" s="58"/>
    </row>
    <row r="92" spans="1:13" ht="15.75" thickBot="1">
      <c r="A92" s="48"/>
      <c r="B92" s="55"/>
      <c r="C92" s="55"/>
      <c r="D92" s="48"/>
      <c r="E92" s="10">
        <v>5</v>
      </c>
      <c r="F92" s="11">
        <v>9.8000000000000007</v>
      </c>
      <c r="G92" s="11">
        <v>1.4</v>
      </c>
      <c r="H92" s="11" t="s">
        <v>19</v>
      </c>
      <c r="I92" s="11"/>
      <c r="J92" s="48"/>
      <c r="K92" s="59"/>
      <c r="L92" s="48"/>
      <c r="M92" s="59"/>
    </row>
    <row r="93" spans="1:13">
      <c r="A93" s="46">
        <v>19</v>
      </c>
      <c r="B93" s="53">
        <v>3</v>
      </c>
      <c r="C93" s="53" t="s">
        <v>35</v>
      </c>
      <c r="D93" s="46" t="s">
        <v>21</v>
      </c>
      <c r="E93" s="8">
        <v>1</v>
      </c>
      <c r="F93" s="9">
        <v>12.67</v>
      </c>
      <c r="G93" s="9">
        <v>1.3</v>
      </c>
      <c r="H93" s="5" t="s">
        <v>16</v>
      </c>
      <c r="I93" s="9">
        <v>32.590000000000003</v>
      </c>
      <c r="J93" s="47">
        <f t="shared" ref="J93" si="68">AVERAGE(F93:F97)</f>
        <v>11.36</v>
      </c>
      <c r="K93" s="58">
        <f t="shared" ref="K93" si="69">STDEV(F93:F97)/SQRT(5)</f>
        <v>1.5471166730405304</v>
      </c>
      <c r="L93" s="47">
        <f t="shared" ref="L93" si="70">AVERAGE(G93:G97)</f>
        <v>1.36</v>
      </c>
      <c r="M93" s="58">
        <f t="shared" ref="M93" si="71">STDEV(G93:G97)/SQRT(5)</f>
        <v>2.4494897427831747E-2</v>
      </c>
    </row>
    <row r="94" spans="1:13">
      <c r="A94" s="47"/>
      <c r="B94" s="54"/>
      <c r="C94" s="54"/>
      <c r="D94" s="47"/>
      <c r="E94" s="7">
        <v>2</v>
      </c>
      <c r="F94" s="5">
        <v>16.850000000000001</v>
      </c>
      <c r="G94" s="5">
        <v>1.4</v>
      </c>
      <c r="H94" s="5" t="s">
        <v>17</v>
      </c>
      <c r="I94" s="5">
        <v>41.39</v>
      </c>
      <c r="J94" s="47"/>
      <c r="K94" s="58"/>
      <c r="L94" s="47"/>
      <c r="M94" s="58"/>
    </row>
    <row r="95" spans="1:13">
      <c r="A95" s="47"/>
      <c r="B95" s="54"/>
      <c r="C95" s="54"/>
      <c r="D95" s="47"/>
      <c r="E95" s="7">
        <v>3</v>
      </c>
      <c r="F95" s="5">
        <v>8.86</v>
      </c>
      <c r="G95" s="5">
        <v>1.3</v>
      </c>
      <c r="H95" s="5" t="s">
        <v>18</v>
      </c>
      <c r="I95" s="5">
        <v>20.28</v>
      </c>
      <c r="J95" s="47"/>
      <c r="K95" s="58"/>
      <c r="L95" s="47"/>
      <c r="M95" s="58"/>
    </row>
    <row r="96" spans="1:13">
      <c r="A96" s="47"/>
      <c r="B96" s="54"/>
      <c r="C96" s="54"/>
      <c r="D96" s="47"/>
      <c r="E96" s="7">
        <v>4</v>
      </c>
      <c r="F96" s="5">
        <v>8.6999999999999993</v>
      </c>
      <c r="G96" s="5">
        <v>1.4</v>
      </c>
      <c r="H96" s="5" t="s">
        <v>19</v>
      </c>
      <c r="I96" s="5"/>
      <c r="J96" s="47"/>
      <c r="K96" s="58"/>
      <c r="L96" s="47"/>
      <c r="M96" s="58"/>
    </row>
    <row r="97" spans="1:13" ht="15.75" thickBot="1">
      <c r="A97" s="48"/>
      <c r="B97" s="55"/>
      <c r="C97" s="55"/>
      <c r="D97" s="48"/>
      <c r="E97" s="10">
        <v>5</v>
      </c>
      <c r="F97" s="11">
        <v>9.7200000000000006</v>
      </c>
      <c r="G97" s="11">
        <v>1.4</v>
      </c>
      <c r="H97" s="11" t="s">
        <v>19</v>
      </c>
      <c r="I97" s="11"/>
      <c r="J97" s="48"/>
      <c r="K97" s="59"/>
      <c r="L97" s="48"/>
      <c r="M97" s="59"/>
    </row>
    <row r="98" spans="1:13">
      <c r="A98" s="46">
        <v>20</v>
      </c>
      <c r="B98" s="53">
        <v>4</v>
      </c>
      <c r="C98" s="53" t="s">
        <v>35</v>
      </c>
      <c r="D98" s="46" t="s">
        <v>22</v>
      </c>
      <c r="E98" s="8">
        <v>1</v>
      </c>
      <c r="F98" s="9">
        <v>9.8000000000000007</v>
      </c>
      <c r="G98" s="9">
        <v>1.4</v>
      </c>
      <c r="H98" s="5" t="s">
        <v>16</v>
      </c>
      <c r="I98" s="9">
        <v>33.81</v>
      </c>
      <c r="J98" s="47">
        <f t="shared" ref="J98" si="72">AVERAGE(F98:F102)</f>
        <v>9.3740000000000006</v>
      </c>
      <c r="K98" s="58">
        <f t="shared" ref="K98" si="73">STDEV(F98:F102)/SQRT(5)</f>
        <v>1.3942797423759701</v>
      </c>
      <c r="L98" s="47">
        <f t="shared" ref="L98" si="74">AVERAGE(G98:G102)</f>
        <v>1.32</v>
      </c>
      <c r="M98" s="58">
        <f t="shared" ref="M98" si="75">STDEV(G98:G102)/SQRT(5)</f>
        <v>3.7416573867739396E-2</v>
      </c>
    </row>
    <row r="99" spans="1:13">
      <c r="A99" s="47"/>
      <c r="B99" s="54"/>
      <c r="C99" s="54"/>
      <c r="D99" s="47"/>
      <c r="E99" s="7">
        <v>2</v>
      </c>
      <c r="F99" s="5">
        <v>7.38</v>
      </c>
      <c r="G99" s="5">
        <v>1.3</v>
      </c>
      <c r="H99" s="5" t="s">
        <v>17</v>
      </c>
      <c r="I99" s="5">
        <v>39.81</v>
      </c>
      <c r="J99" s="47"/>
      <c r="K99" s="58"/>
      <c r="L99" s="47"/>
      <c r="M99" s="58"/>
    </row>
    <row r="100" spans="1:13">
      <c r="A100" s="47"/>
      <c r="B100" s="54"/>
      <c r="C100" s="54"/>
      <c r="D100" s="47"/>
      <c r="E100" s="7">
        <v>3</v>
      </c>
      <c r="F100" s="5">
        <v>14.09</v>
      </c>
      <c r="G100" s="5">
        <v>1.3</v>
      </c>
      <c r="H100" s="5" t="s">
        <v>18</v>
      </c>
      <c r="I100" s="5">
        <v>20</v>
      </c>
      <c r="J100" s="47"/>
      <c r="K100" s="58"/>
      <c r="L100" s="47"/>
      <c r="M100" s="58"/>
    </row>
    <row r="101" spans="1:13">
      <c r="A101" s="47"/>
      <c r="B101" s="54"/>
      <c r="C101" s="54"/>
      <c r="D101" s="47"/>
      <c r="E101" s="7">
        <v>4</v>
      </c>
      <c r="F101" s="5">
        <v>5.86</v>
      </c>
      <c r="G101" s="5">
        <v>1.4</v>
      </c>
      <c r="H101" s="5" t="s">
        <v>19</v>
      </c>
      <c r="I101" s="5"/>
      <c r="J101" s="47"/>
      <c r="K101" s="58"/>
      <c r="L101" s="47"/>
      <c r="M101" s="58"/>
    </row>
    <row r="102" spans="1:13" ht="15.75" thickBot="1">
      <c r="A102" s="48"/>
      <c r="B102" s="55"/>
      <c r="C102" s="55"/>
      <c r="D102" s="48"/>
      <c r="E102" s="10">
        <v>5</v>
      </c>
      <c r="F102" s="11">
        <v>9.74</v>
      </c>
      <c r="G102" s="11">
        <v>1.2</v>
      </c>
      <c r="H102" s="11" t="s">
        <v>19</v>
      </c>
      <c r="I102" s="11"/>
      <c r="J102" s="48"/>
      <c r="K102" s="59"/>
      <c r="L102" s="48"/>
      <c r="M102" s="59"/>
    </row>
    <row r="103" spans="1:13">
      <c r="A103" s="46">
        <v>21</v>
      </c>
      <c r="B103" s="53">
        <v>5</v>
      </c>
      <c r="C103" s="53" t="s">
        <v>35</v>
      </c>
      <c r="D103" s="46" t="s">
        <v>23</v>
      </c>
      <c r="E103" s="8">
        <v>1</v>
      </c>
      <c r="F103" s="9">
        <v>17.52</v>
      </c>
      <c r="G103" s="9">
        <v>2.1</v>
      </c>
      <c r="H103" s="5" t="s">
        <v>16</v>
      </c>
      <c r="I103" s="9">
        <v>35.54</v>
      </c>
      <c r="J103" s="47">
        <f t="shared" ref="J103" si="76">AVERAGE(F103:F107)</f>
        <v>12.132000000000001</v>
      </c>
      <c r="K103" s="58">
        <f t="shared" ref="K103" si="77">STDEV(F103:F107)/SQRT(5)</f>
        <v>2.187074301435596</v>
      </c>
      <c r="L103" s="47">
        <f t="shared" ref="L103" si="78">AVERAGE(G103:G107)</f>
        <v>1.5</v>
      </c>
      <c r="M103" s="58">
        <f t="shared" ref="M103" si="79">STDEV(G103:G107)/SQRT(5)</f>
        <v>0.15165750888103086</v>
      </c>
    </row>
    <row r="104" spans="1:13">
      <c r="A104" s="47"/>
      <c r="B104" s="54"/>
      <c r="C104" s="54"/>
      <c r="D104" s="47"/>
      <c r="E104" s="7">
        <v>2</v>
      </c>
      <c r="F104" s="5">
        <v>7.65</v>
      </c>
      <c r="G104" s="5">
        <v>1.4</v>
      </c>
      <c r="H104" s="5" t="s">
        <v>17</v>
      </c>
      <c r="I104" s="5">
        <v>37.89</v>
      </c>
      <c r="J104" s="47"/>
      <c r="K104" s="58"/>
      <c r="L104" s="47"/>
      <c r="M104" s="58"/>
    </row>
    <row r="105" spans="1:13">
      <c r="A105" s="47"/>
      <c r="B105" s="54"/>
      <c r="C105" s="54"/>
      <c r="D105" s="47"/>
      <c r="E105" s="7">
        <v>3</v>
      </c>
      <c r="F105" s="5">
        <v>7.36</v>
      </c>
      <c r="G105" s="5">
        <v>1.4</v>
      </c>
      <c r="H105" s="5" t="s">
        <v>18</v>
      </c>
      <c r="I105" s="5">
        <v>19.66</v>
      </c>
      <c r="J105" s="47"/>
      <c r="K105" s="58"/>
      <c r="L105" s="47"/>
      <c r="M105" s="58"/>
    </row>
    <row r="106" spans="1:13">
      <c r="A106" s="47"/>
      <c r="B106" s="54"/>
      <c r="C106" s="54"/>
      <c r="D106" s="47"/>
      <c r="E106" s="7">
        <v>4</v>
      </c>
      <c r="F106" s="5">
        <v>11.21</v>
      </c>
      <c r="G106" s="5">
        <v>1.3</v>
      </c>
      <c r="H106" s="5" t="s">
        <v>19</v>
      </c>
      <c r="I106" s="5"/>
      <c r="J106" s="47"/>
      <c r="K106" s="58"/>
      <c r="L106" s="47"/>
      <c r="M106" s="58"/>
    </row>
    <row r="107" spans="1:13" ht="15.75" thickBot="1">
      <c r="A107" s="48"/>
      <c r="B107" s="55"/>
      <c r="C107" s="55"/>
      <c r="D107" s="48"/>
      <c r="E107" s="10">
        <v>5</v>
      </c>
      <c r="F107" s="11">
        <v>16.920000000000002</v>
      </c>
      <c r="G107" s="11">
        <v>1.3</v>
      </c>
      <c r="H107" s="11" t="s">
        <v>19</v>
      </c>
      <c r="I107" s="11"/>
      <c r="J107" s="48"/>
      <c r="K107" s="59"/>
      <c r="L107" s="48"/>
      <c r="M107" s="59"/>
    </row>
    <row r="108" spans="1:13">
      <c r="A108" s="46">
        <v>22</v>
      </c>
      <c r="B108" s="53">
        <v>6</v>
      </c>
      <c r="C108" s="53" t="s">
        <v>35</v>
      </c>
      <c r="D108" s="46" t="s">
        <v>24</v>
      </c>
      <c r="E108" s="8">
        <v>1</v>
      </c>
      <c r="F108" s="9">
        <v>13.86</v>
      </c>
      <c r="G108" s="9">
        <v>1.2</v>
      </c>
      <c r="H108" s="5" t="s">
        <v>16</v>
      </c>
      <c r="I108" s="9">
        <v>31.36</v>
      </c>
      <c r="J108" s="47">
        <f t="shared" ref="J108" si="80">AVERAGE(F108:F112)</f>
        <v>13.1</v>
      </c>
      <c r="K108" s="58">
        <f t="shared" ref="K108" si="81">STDEV(F108:F112)/SQRT(5)</f>
        <v>1.4697891005174877</v>
      </c>
      <c r="L108" s="47">
        <f t="shared" ref="L108" si="82">AVERAGE(G108:G112)</f>
        <v>1.3800000000000001</v>
      </c>
      <c r="M108" s="58">
        <f t="shared" ref="M108" si="83">STDEV(G108:G112)/SQRT(5)</f>
        <v>0.131909059582729</v>
      </c>
    </row>
    <row r="109" spans="1:13">
      <c r="A109" s="47"/>
      <c r="B109" s="54"/>
      <c r="C109" s="54"/>
      <c r="D109" s="47"/>
      <c r="E109" s="7">
        <v>2</v>
      </c>
      <c r="F109" s="5">
        <v>17.8</v>
      </c>
      <c r="G109" s="5">
        <v>1.2</v>
      </c>
      <c r="H109" s="5" t="s">
        <v>17</v>
      </c>
      <c r="I109" s="5">
        <v>35.21</v>
      </c>
      <c r="J109" s="47"/>
      <c r="K109" s="58"/>
      <c r="L109" s="47"/>
      <c r="M109" s="58"/>
    </row>
    <row r="110" spans="1:13">
      <c r="A110" s="47"/>
      <c r="B110" s="54"/>
      <c r="C110" s="54"/>
      <c r="D110" s="47"/>
      <c r="E110" s="7">
        <v>3</v>
      </c>
      <c r="F110" s="5">
        <v>13.88</v>
      </c>
      <c r="G110" s="5">
        <v>1.3</v>
      </c>
      <c r="H110" s="5" t="s">
        <v>18</v>
      </c>
      <c r="I110" s="5">
        <v>20.48</v>
      </c>
      <c r="J110" s="47"/>
      <c r="K110" s="58"/>
      <c r="L110" s="47"/>
      <c r="M110" s="58"/>
    </row>
    <row r="111" spans="1:13">
      <c r="A111" s="47"/>
      <c r="B111" s="54"/>
      <c r="C111" s="54"/>
      <c r="D111" s="47"/>
      <c r="E111" s="7">
        <v>4</v>
      </c>
      <c r="F111" s="5">
        <v>10.46</v>
      </c>
      <c r="G111" s="5">
        <v>1.3</v>
      </c>
      <c r="H111" s="5" t="s">
        <v>19</v>
      </c>
      <c r="I111" s="5"/>
      <c r="J111" s="47"/>
      <c r="K111" s="58"/>
      <c r="L111" s="47"/>
      <c r="M111" s="58"/>
    </row>
    <row r="112" spans="1:13" ht="15.75" thickBot="1">
      <c r="A112" s="48"/>
      <c r="B112" s="55"/>
      <c r="C112" s="55"/>
      <c r="D112" s="48"/>
      <c r="E112" s="10">
        <v>5</v>
      </c>
      <c r="F112" s="11">
        <v>9.5</v>
      </c>
      <c r="G112" s="11">
        <v>1.9</v>
      </c>
      <c r="H112" s="11" t="s">
        <v>19</v>
      </c>
      <c r="I112" s="11"/>
      <c r="J112" s="48"/>
      <c r="K112" s="59"/>
      <c r="L112" s="48"/>
      <c r="M112" s="59"/>
    </row>
    <row r="113" spans="1:13">
      <c r="A113" s="46">
        <v>23</v>
      </c>
      <c r="B113" s="53">
        <v>7</v>
      </c>
      <c r="C113" s="53" t="s">
        <v>35</v>
      </c>
      <c r="D113" s="46" t="s">
        <v>25</v>
      </c>
      <c r="E113" s="8">
        <v>1</v>
      </c>
      <c r="F113" s="9">
        <v>13.9</v>
      </c>
      <c r="G113" s="9">
        <v>2.1</v>
      </c>
      <c r="H113" s="5" t="s">
        <v>16</v>
      </c>
      <c r="I113" s="9" t="s">
        <v>36</v>
      </c>
      <c r="J113" s="47">
        <f t="shared" ref="J113" si="84">AVERAGE(F113:F117)</f>
        <v>12.569999999999999</v>
      </c>
      <c r="K113" s="58">
        <f t="shared" ref="K113" si="85">STDEV(F113:F117)/SQRT(5)</f>
        <v>1.025099995122428</v>
      </c>
      <c r="L113" s="47">
        <f t="shared" ref="L113" si="86">AVERAGE(G113:G117)</f>
        <v>2.06</v>
      </c>
      <c r="M113" s="58">
        <f t="shared" ref="M113" si="87">STDEV(G113:G117)/SQRT(5)</f>
        <v>2.4494897427831803E-2</v>
      </c>
    </row>
    <row r="114" spans="1:13">
      <c r="A114" s="47"/>
      <c r="B114" s="54"/>
      <c r="C114" s="54"/>
      <c r="D114" s="47"/>
      <c r="E114" s="7">
        <v>2</v>
      </c>
      <c r="F114" s="5">
        <v>13.79</v>
      </c>
      <c r="G114" s="5">
        <v>2.1</v>
      </c>
      <c r="H114" s="5" t="s">
        <v>17</v>
      </c>
      <c r="I114" s="5" t="s">
        <v>36</v>
      </c>
      <c r="J114" s="47"/>
      <c r="K114" s="58"/>
      <c r="L114" s="47"/>
      <c r="M114" s="58"/>
    </row>
    <row r="115" spans="1:13">
      <c r="A115" s="47"/>
      <c r="B115" s="54"/>
      <c r="C115" s="54"/>
      <c r="D115" s="47"/>
      <c r="E115" s="7">
        <v>3</v>
      </c>
      <c r="F115" s="5">
        <v>12.85</v>
      </c>
      <c r="G115" s="5">
        <v>2</v>
      </c>
      <c r="H115" s="5" t="s">
        <v>18</v>
      </c>
      <c r="I115" s="5" t="s">
        <v>36</v>
      </c>
      <c r="J115" s="47"/>
      <c r="K115" s="58"/>
      <c r="L115" s="47"/>
      <c r="M115" s="58"/>
    </row>
    <row r="116" spans="1:13">
      <c r="A116" s="47"/>
      <c r="B116" s="54"/>
      <c r="C116" s="54"/>
      <c r="D116" s="47"/>
      <c r="E116" s="7">
        <v>4</v>
      </c>
      <c r="F116" s="5">
        <v>8.5399999999999991</v>
      </c>
      <c r="G116" s="5">
        <v>2.1</v>
      </c>
      <c r="H116" s="5" t="s">
        <v>19</v>
      </c>
      <c r="I116" s="5"/>
      <c r="J116" s="47"/>
      <c r="K116" s="58"/>
      <c r="L116" s="47"/>
      <c r="M116" s="58"/>
    </row>
    <row r="117" spans="1:13" ht="15.75" thickBot="1">
      <c r="A117" s="48"/>
      <c r="B117" s="55"/>
      <c r="C117" s="55"/>
      <c r="D117" s="48"/>
      <c r="E117" s="10">
        <v>5</v>
      </c>
      <c r="F117" s="11">
        <v>13.77</v>
      </c>
      <c r="G117" s="11">
        <v>2</v>
      </c>
      <c r="H117" s="11" t="s">
        <v>19</v>
      </c>
      <c r="I117" s="11"/>
      <c r="J117" s="48"/>
      <c r="K117" s="59"/>
      <c r="L117" s="48"/>
      <c r="M117" s="59"/>
    </row>
    <row r="118" spans="1:13">
      <c r="A118" s="46">
        <v>24</v>
      </c>
      <c r="B118" s="53">
        <v>8</v>
      </c>
      <c r="C118" s="53" t="s">
        <v>35</v>
      </c>
      <c r="D118" s="46" t="s">
        <v>26</v>
      </c>
      <c r="E118" s="8">
        <v>1</v>
      </c>
      <c r="F118" s="9">
        <v>8.7200000000000006</v>
      </c>
      <c r="G118" s="9">
        <v>1.3</v>
      </c>
      <c r="H118" s="5" t="s">
        <v>16</v>
      </c>
      <c r="I118" s="9">
        <v>35.67</v>
      </c>
      <c r="J118" s="47">
        <f t="shared" ref="J118" si="88">AVERAGE(F118:F122)</f>
        <v>9.984</v>
      </c>
      <c r="K118" s="58">
        <f t="shared" ref="K118" si="89">STDEV(F118:F122)/SQRT(5)</f>
        <v>0.66698275839784349</v>
      </c>
      <c r="L118" s="47">
        <f t="shared" ref="L118" si="90">AVERAGE(G118:G122)</f>
        <v>1.64</v>
      </c>
      <c r="M118" s="58">
        <f t="shared" ref="M118" si="91">STDEV(G118:G122)/SQRT(5)</f>
        <v>0.13638181696985885</v>
      </c>
    </row>
    <row r="119" spans="1:13">
      <c r="A119" s="47"/>
      <c r="B119" s="54"/>
      <c r="C119" s="54"/>
      <c r="D119" s="47"/>
      <c r="E119" s="7">
        <v>2</v>
      </c>
      <c r="F119" s="5">
        <v>8.36</v>
      </c>
      <c r="G119" s="5">
        <v>1.9</v>
      </c>
      <c r="H119" s="5" t="s">
        <v>17</v>
      </c>
      <c r="I119" s="5">
        <v>33.549999999999997</v>
      </c>
      <c r="J119" s="47"/>
      <c r="K119" s="58"/>
      <c r="L119" s="47"/>
      <c r="M119" s="58"/>
    </row>
    <row r="120" spans="1:13">
      <c r="A120" s="47"/>
      <c r="B120" s="54"/>
      <c r="C120" s="54"/>
      <c r="D120" s="47"/>
      <c r="E120" s="7">
        <v>3</v>
      </c>
      <c r="F120" s="5">
        <v>9.84</v>
      </c>
      <c r="G120" s="5">
        <v>1.4</v>
      </c>
      <c r="H120" s="5" t="s">
        <v>18</v>
      </c>
      <c r="I120" s="5">
        <v>24.62</v>
      </c>
      <c r="J120" s="47"/>
      <c r="K120" s="58"/>
      <c r="L120" s="47"/>
      <c r="M120" s="58"/>
    </row>
    <row r="121" spans="1:13">
      <c r="A121" s="47"/>
      <c r="B121" s="54"/>
      <c r="C121" s="54"/>
      <c r="D121" s="47"/>
      <c r="E121" s="7">
        <v>4</v>
      </c>
      <c r="F121" s="5">
        <v>11.65</v>
      </c>
      <c r="G121" s="5">
        <v>1.6</v>
      </c>
      <c r="H121" s="5" t="s">
        <v>19</v>
      </c>
      <c r="I121" s="5"/>
      <c r="J121" s="47"/>
      <c r="K121" s="58"/>
      <c r="L121" s="47"/>
      <c r="M121" s="58"/>
    </row>
    <row r="122" spans="1:13" ht="15.75" thickBot="1">
      <c r="A122" s="48"/>
      <c r="B122" s="55"/>
      <c r="C122" s="55"/>
      <c r="D122" s="48"/>
      <c r="E122" s="10">
        <v>5</v>
      </c>
      <c r="F122" s="11">
        <v>11.35</v>
      </c>
      <c r="G122" s="11">
        <v>2</v>
      </c>
      <c r="H122" s="11" t="s">
        <v>19</v>
      </c>
      <c r="I122" s="11"/>
      <c r="J122" s="48"/>
      <c r="K122" s="59"/>
      <c r="L122" s="48"/>
      <c r="M122" s="59"/>
    </row>
    <row r="123" spans="1:13">
      <c r="A123" s="46">
        <v>25</v>
      </c>
      <c r="B123" s="53">
        <v>9</v>
      </c>
      <c r="C123" s="53" t="s">
        <v>35</v>
      </c>
      <c r="D123" s="46" t="s">
        <v>27</v>
      </c>
      <c r="E123" s="8">
        <v>1</v>
      </c>
      <c r="F123" s="9">
        <v>5.18</v>
      </c>
      <c r="G123" s="9">
        <v>1.8</v>
      </c>
      <c r="H123" s="5" t="s">
        <v>16</v>
      </c>
      <c r="I123" s="9">
        <v>39.340000000000003</v>
      </c>
      <c r="J123" s="47">
        <f t="shared" ref="J123" si="92">AVERAGE(F123:F127)</f>
        <v>6.7379999999999995</v>
      </c>
      <c r="K123" s="58">
        <f t="shared" ref="K123" si="93">STDEV(F123:F127)/SQRT(5)</f>
        <v>0.85951381606114996</v>
      </c>
      <c r="L123" s="47">
        <f t="shared" ref="L123" si="94">AVERAGE(G123:G127)</f>
        <v>1.8199999999999998</v>
      </c>
      <c r="M123" s="58">
        <f t="shared" ref="M123" si="95">STDEV(G123:G127)/SQRT(5)</f>
        <v>0.11135528725660068</v>
      </c>
    </row>
    <row r="124" spans="1:13">
      <c r="A124" s="47"/>
      <c r="B124" s="54"/>
      <c r="C124" s="54"/>
      <c r="D124" s="47"/>
      <c r="E124" s="7">
        <v>2</v>
      </c>
      <c r="F124" s="5">
        <v>9.1</v>
      </c>
      <c r="G124" s="5">
        <v>1.4</v>
      </c>
      <c r="H124" s="5" t="s">
        <v>17</v>
      </c>
      <c r="I124" s="5">
        <v>40.58</v>
      </c>
      <c r="J124" s="47"/>
      <c r="K124" s="58"/>
      <c r="L124" s="47"/>
      <c r="M124" s="58"/>
    </row>
    <row r="125" spans="1:13">
      <c r="A125" s="47"/>
      <c r="B125" s="54"/>
      <c r="C125" s="54"/>
      <c r="D125" s="47"/>
      <c r="E125" s="7">
        <v>3</v>
      </c>
      <c r="F125" s="5">
        <v>7.54</v>
      </c>
      <c r="G125" s="5">
        <v>2</v>
      </c>
      <c r="H125" s="5" t="s">
        <v>18</v>
      </c>
      <c r="I125" s="5">
        <v>28.13</v>
      </c>
      <c r="J125" s="47"/>
      <c r="K125" s="58"/>
      <c r="L125" s="47"/>
      <c r="M125" s="58"/>
    </row>
    <row r="126" spans="1:13">
      <c r="A126" s="47"/>
      <c r="B126" s="54"/>
      <c r="C126" s="54"/>
      <c r="D126" s="47"/>
      <c r="E126" s="7">
        <v>4</v>
      </c>
      <c r="F126" s="5">
        <v>4.38</v>
      </c>
      <c r="G126" s="5">
        <v>1.9</v>
      </c>
      <c r="H126" s="5" t="s">
        <v>19</v>
      </c>
      <c r="I126" s="5"/>
      <c r="J126" s="47"/>
      <c r="K126" s="58"/>
      <c r="L126" s="47"/>
      <c r="M126" s="58"/>
    </row>
    <row r="127" spans="1:13" ht="15.75" thickBot="1">
      <c r="A127" s="48"/>
      <c r="B127" s="55"/>
      <c r="C127" s="55"/>
      <c r="D127" s="48"/>
      <c r="E127" s="10">
        <v>5</v>
      </c>
      <c r="F127" s="11">
        <v>7.49</v>
      </c>
      <c r="G127" s="11">
        <v>2</v>
      </c>
      <c r="H127" s="11" t="s">
        <v>19</v>
      </c>
      <c r="I127" s="11"/>
      <c r="J127" s="48"/>
      <c r="K127" s="59"/>
      <c r="L127" s="48"/>
      <c r="M127" s="59"/>
    </row>
    <row r="128" spans="1:13">
      <c r="A128" s="46">
        <v>26</v>
      </c>
      <c r="B128" s="53">
        <v>10</v>
      </c>
      <c r="C128" s="53" t="s">
        <v>35</v>
      </c>
      <c r="D128" s="46" t="s">
        <v>28</v>
      </c>
      <c r="E128" s="8">
        <v>1</v>
      </c>
      <c r="F128" s="9">
        <v>11.87</v>
      </c>
      <c r="G128" s="9">
        <v>1.4</v>
      </c>
      <c r="H128" s="5" t="s">
        <v>16</v>
      </c>
      <c r="I128" s="9">
        <v>29.36</v>
      </c>
      <c r="J128" s="47">
        <f t="shared" ref="J128" si="96">AVERAGE(F128:F132)</f>
        <v>11.36</v>
      </c>
      <c r="K128" s="58">
        <f t="shared" ref="K128" si="97">STDEV(F128:F132)/SQRT(5)</f>
        <v>2.2740074758012572</v>
      </c>
      <c r="L128" s="47">
        <f t="shared" ref="L128" si="98">AVERAGE(G128:G132)</f>
        <v>1.56</v>
      </c>
      <c r="M128" s="58">
        <f t="shared" ref="M128" si="99">STDEV(G128:G132)/SQRT(5)</f>
        <v>0.11224972160321837</v>
      </c>
    </row>
    <row r="129" spans="1:13">
      <c r="A129" s="47"/>
      <c r="B129" s="54"/>
      <c r="C129" s="54"/>
      <c r="D129" s="47"/>
      <c r="E129" s="7">
        <v>2</v>
      </c>
      <c r="F129" s="5">
        <v>9.5</v>
      </c>
      <c r="G129" s="5">
        <v>1.7</v>
      </c>
      <c r="H129" s="5" t="s">
        <v>17</v>
      </c>
      <c r="I129" s="5">
        <v>36.22</v>
      </c>
      <c r="J129" s="47"/>
      <c r="K129" s="58"/>
      <c r="L129" s="47"/>
      <c r="M129" s="58"/>
    </row>
    <row r="130" spans="1:13">
      <c r="A130" s="47"/>
      <c r="B130" s="54"/>
      <c r="C130" s="54"/>
      <c r="D130" s="47"/>
      <c r="E130" s="7">
        <v>3</v>
      </c>
      <c r="F130" s="5">
        <v>6.06</v>
      </c>
      <c r="G130" s="5">
        <v>1.8</v>
      </c>
      <c r="H130" s="5" t="s">
        <v>18</v>
      </c>
      <c r="I130" s="5">
        <v>14.84</v>
      </c>
      <c r="J130" s="47"/>
      <c r="K130" s="58"/>
      <c r="L130" s="47"/>
      <c r="M130" s="58"/>
    </row>
    <row r="131" spans="1:13">
      <c r="A131" s="47"/>
      <c r="B131" s="54"/>
      <c r="C131" s="54"/>
      <c r="D131" s="47"/>
      <c r="E131" s="7">
        <v>4</v>
      </c>
      <c r="F131" s="5">
        <v>9.7100000000000009</v>
      </c>
      <c r="G131" s="5">
        <v>1.7</v>
      </c>
      <c r="H131" s="5" t="s">
        <v>19</v>
      </c>
      <c r="I131" s="5"/>
      <c r="J131" s="47"/>
      <c r="K131" s="58"/>
      <c r="L131" s="47"/>
      <c r="M131" s="58"/>
    </row>
    <row r="132" spans="1:13" ht="15.75" thickBot="1">
      <c r="A132" s="48"/>
      <c r="B132" s="55"/>
      <c r="C132" s="55"/>
      <c r="D132" s="48"/>
      <c r="E132" s="10">
        <v>5</v>
      </c>
      <c r="F132" s="11">
        <v>19.66</v>
      </c>
      <c r="G132" s="11">
        <v>1.2</v>
      </c>
      <c r="H132" s="11" t="s">
        <v>19</v>
      </c>
      <c r="I132" s="11"/>
      <c r="J132" s="48"/>
      <c r="K132" s="59"/>
      <c r="L132" s="48"/>
      <c r="M132" s="59"/>
    </row>
    <row r="133" spans="1:13">
      <c r="A133" s="46">
        <v>27</v>
      </c>
      <c r="B133" s="53">
        <v>11</v>
      </c>
      <c r="C133" s="53" t="s">
        <v>35</v>
      </c>
      <c r="D133" s="46" t="s">
        <v>29</v>
      </c>
      <c r="E133" s="8">
        <v>1</v>
      </c>
      <c r="F133" s="9">
        <v>12.31</v>
      </c>
      <c r="G133" s="9">
        <v>1.3</v>
      </c>
      <c r="H133" s="5" t="s">
        <v>16</v>
      </c>
      <c r="I133" s="9">
        <v>32.19</v>
      </c>
      <c r="J133" s="47">
        <f t="shared" ref="J133" si="100">AVERAGE(F133:F137)</f>
        <v>8.8640000000000008</v>
      </c>
      <c r="K133" s="58">
        <f t="shared" ref="K133" si="101">STDEV(F133:F137)/SQRT(5)</f>
        <v>1.2719889936630746</v>
      </c>
      <c r="L133" s="47">
        <f t="shared" ref="L133" si="102">AVERAGE(G133:G137)</f>
        <v>1.6199999999999999</v>
      </c>
      <c r="M133" s="58">
        <f t="shared" ref="M133" si="103">STDEV(G133:G137)/SQRT(5)</f>
        <v>9.6953597148326742E-2</v>
      </c>
    </row>
    <row r="134" spans="1:13">
      <c r="A134" s="47"/>
      <c r="B134" s="54"/>
      <c r="C134" s="54"/>
      <c r="D134" s="47"/>
      <c r="E134" s="7">
        <v>2</v>
      </c>
      <c r="F134" s="5">
        <v>4.6500000000000004</v>
      </c>
      <c r="G134" s="5">
        <v>1.9</v>
      </c>
      <c r="H134" s="5" t="s">
        <v>17</v>
      </c>
      <c r="I134" s="5">
        <v>34.799999999999997</v>
      </c>
      <c r="J134" s="47"/>
      <c r="K134" s="58"/>
      <c r="L134" s="47"/>
      <c r="M134" s="58"/>
    </row>
    <row r="135" spans="1:13">
      <c r="A135" s="47"/>
      <c r="B135" s="54"/>
      <c r="C135" s="54"/>
      <c r="D135" s="47"/>
      <c r="E135" s="7">
        <v>3</v>
      </c>
      <c r="F135" s="5">
        <v>8.8000000000000007</v>
      </c>
      <c r="G135" s="5">
        <v>1.7</v>
      </c>
      <c r="H135" s="5" t="s">
        <v>18</v>
      </c>
      <c r="I135" s="5">
        <v>18.36</v>
      </c>
      <c r="J135" s="47"/>
      <c r="K135" s="58"/>
      <c r="L135" s="47"/>
      <c r="M135" s="58"/>
    </row>
    <row r="136" spans="1:13">
      <c r="A136" s="47"/>
      <c r="B136" s="54"/>
      <c r="C136" s="54"/>
      <c r="D136" s="47"/>
      <c r="E136" s="7">
        <v>4</v>
      </c>
      <c r="F136" s="5">
        <v>10.37</v>
      </c>
      <c r="G136" s="5">
        <v>1.6</v>
      </c>
      <c r="H136" s="5" t="s">
        <v>19</v>
      </c>
      <c r="I136" s="5"/>
      <c r="J136" s="47"/>
      <c r="K136" s="58"/>
      <c r="L136" s="47"/>
      <c r="M136" s="58"/>
    </row>
    <row r="137" spans="1:13" ht="15.75" thickBot="1">
      <c r="A137" s="48"/>
      <c r="B137" s="55"/>
      <c r="C137" s="55"/>
      <c r="D137" s="48"/>
      <c r="E137" s="10">
        <v>5</v>
      </c>
      <c r="F137" s="11">
        <v>8.19</v>
      </c>
      <c r="G137" s="11">
        <v>1.6</v>
      </c>
      <c r="H137" s="11" t="s">
        <v>19</v>
      </c>
      <c r="I137" s="11"/>
      <c r="J137" s="48"/>
      <c r="K137" s="59"/>
      <c r="L137" s="48"/>
      <c r="M137" s="59"/>
    </row>
    <row r="138" spans="1:13">
      <c r="A138" s="46">
        <v>28</v>
      </c>
      <c r="B138" s="53">
        <v>12</v>
      </c>
      <c r="C138" s="53" t="s">
        <v>35</v>
      </c>
      <c r="D138" s="46" t="s">
        <v>30</v>
      </c>
      <c r="E138" s="8">
        <v>1</v>
      </c>
      <c r="F138" s="9">
        <v>8.1</v>
      </c>
      <c r="G138" s="9">
        <v>2</v>
      </c>
      <c r="H138" s="5" t="s">
        <v>16</v>
      </c>
      <c r="I138" s="9">
        <v>38.99</v>
      </c>
      <c r="J138" s="47">
        <f t="shared" ref="J138" si="104">AVERAGE(F138:F142)</f>
        <v>11.097999999999999</v>
      </c>
      <c r="K138" s="58">
        <f t="shared" ref="K138" si="105">STDEV(F138:F142)/SQRT(5)</f>
        <v>0.80720133795726889</v>
      </c>
      <c r="L138" s="47">
        <f t="shared" ref="L138" si="106">AVERAGE(G138:G142)</f>
        <v>1.8</v>
      </c>
      <c r="M138" s="58">
        <f>STDEV(G138:G142)/SQRT(4)</f>
        <v>7.0710678118654766E-2</v>
      </c>
    </row>
    <row r="139" spans="1:13">
      <c r="A139" s="47"/>
      <c r="B139" s="54"/>
      <c r="C139" s="54"/>
      <c r="D139" s="47"/>
      <c r="E139" s="7">
        <v>2</v>
      </c>
      <c r="F139" s="5">
        <v>11.34</v>
      </c>
      <c r="G139" s="5" t="s">
        <v>36</v>
      </c>
      <c r="H139" s="5" t="s">
        <v>17</v>
      </c>
      <c r="I139" s="5">
        <v>38.36</v>
      </c>
      <c r="J139" s="47"/>
      <c r="K139" s="58"/>
      <c r="L139" s="47"/>
      <c r="M139" s="58"/>
    </row>
    <row r="140" spans="1:13">
      <c r="A140" s="47"/>
      <c r="B140" s="54"/>
      <c r="C140" s="54"/>
      <c r="D140" s="47"/>
      <c r="E140" s="7">
        <v>3</v>
      </c>
      <c r="F140" s="5">
        <v>11.13</v>
      </c>
      <c r="G140" s="5">
        <v>1.7</v>
      </c>
      <c r="H140" s="5" t="s">
        <v>18</v>
      </c>
      <c r="I140" s="5">
        <v>28.12</v>
      </c>
      <c r="J140" s="47"/>
      <c r="K140" s="58"/>
      <c r="L140" s="47"/>
      <c r="M140" s="58"/>
    </row>
    <row r="141" spans="1:13">
      <c r="A141" s="47"/>
      <c r="B141" s="54"/>
      <c r="C141" s="54"/>
      <c r="D141" s="47"/>
      <c r="E141" s="7">
        <v>4</v>
      </c>
      <c r="F141" s="5">
        <v>12.83</v>
      </c>
      <c r="G141" s="5">
        <v>1.8</v>
      </c>
      <c r="H141" s="5" t="s">
        <v>19</v>
      </c>
      <c r="I141" s="5"/>
      <c r="J141" s="47"/>
      <c r="K141" s="58"/>
      <c r="L141" s="47"/>
      <c r="M141" s="58"/>
    </row>
    <row r="142" spans="1:13" ht="15.75" thickBot="1">
      <c r="A142" s="48"/>
      <c r="B142" s="55"/>
      <c r="C142" s="55"/>
      <c r="D142" s="48"/>
      <c r="E142" s="10">
        <v>5</v>
      </c>
      <c r="F142" s="11">
        <v>12.09</v>
      </c>
      <c r="G142" s="11">
        <v>1.7</v>
      </c>
      <c r="H142" s="11" t="s">
        <v>19</v>
      </c>
      <c r="I142" s="11"/>
      <c r="J142" s="48"/>
      <c r="K142" s="59"/>
      <c r="L142" s="48"/>
      <c r="M142" s="59"/>
    </row>
    <row r="143" spans="1:13">
      <c r="A143" s="46">
        <v>29</v>
      </c>
      <c r="B143" s="53">
        <v>13</v>
      </c>
      <c r="C143" s="53" t="s">
        <v>35</v>
      </c>
      <c r="D143" s="46" t="s">
        <v>31</v>
      </c>
      <c r="E143" s="8">
        <v>1</v>
      </c>
      <c r="F143" s="9">
        <v>11.6</v>
      </c>
      <c r="G143" s="9">
        <v>1.8</v>
      </c>
      <c r="H143" s="5" t="s">
        <v>16</v>
      </c>
      <c r="I143" s="9">
        <v>33.090000000000003</v>
      </c>
      <c r="J143" s="47">
        <f t="shared" ref="J143" si="107">AVERAGE(F143:F147)</f>
        <v>12.898</v>
      </c>
      <c r="K143" s="58">
        <f t="shared" ref="K143" si="108">STDEV(F143:F147)/SQRT(5)</f>
        <v>1.744194369902621</v>
      </c>
      <c r="L143" s="47">
        <f t="shared" ref="L143" si="109">AVERAGE(G143:G147)</f>
        <v>1.8</v>
      </c>
      <c r="M143" s="58">
        <f t="shared" ref="M143" si="110">STDEV(G143:G147)/SQRT(5)</f>
        <v>9.4868329805051305E-2</v>
      </c>
    </row>
    <row r="144" spans="1:13">
      <c r="A144" s="47"/>
      <c r="B144" s="54"/>
      <c r="C144" s="54"/>
      <c r="D144" s="47"/>
      <c r="E144" s="7">
        <v>2</v>
      </c>
      <c r="F144" s="5">
        <v>10.199999999999999</v>
      </c>
      <c r="G144" s="5">
        <v>1.5</v>
      </c>
      <c r="H144" s="5" t="s">
        <v>17</v>
      </c>
      <c r="I144" s="5">
        <v>34.71</v>
      </c>
      <c r="J144" s="47"/>
      <c r="K144" s="58"/>
      <c r="L144" s="47"/>
      <c r="M144" s="58"/>
    </row>
    <row r="145" spans="1:13">
      <c r="A145" s="47"/>
      <c r="B145" s="54"/>
      <c r="C145" s="54"/>
      <c r="D145" s="47"/>
      <c r="E145" s="7">
        <v>3</v>
      </c>
      <c r="F145" s="5">
        <v>13.19</v>
      </c>
      <c r="G145" s="5">
        <v>2</v>
      </c>
      <c r="H145" s="5" t="s">
        <v>18</v>
      </c>
      <c r="I145" s="5">
        <v>19.329999999999998</v>
      </c>
      <c r="J145" s="47"/>
      <c r="K145" s="58"/>
      <c r="L145" s="47"/>
      <c r="M145" s="58"/>
    </row>
    <row r="146" spans="1:13">
      <c r="A146" s="47"/>
      <c r="B146" s="54"/>
      <c r="C146" s="54"/>
      <c r="D146" s="47"/>
      <c r="E146" s="7">
        <v>4</v>
      </c>
      <c r="F146" s="5">
        <v>10.01</v>
      </c>
      <c r="G146" s="5">
        <v>1.7</v>
      </c>
      <c r="H146" s="5" t="s">
        <v>19</v>
      </c>
      <c r="I146" s="5"/>
      <c r="J146" s="47"/>
      <c r="K146" s="58"/>
      <c r="L146" s="47"/>
      <c r="M146" s="58"/>
    </row>
    <row r="147" spans="1:13" ht="15.75" thickBot="1">
      <c r="A147" s="48"/>
      <c r="B147" s="55"/>
      <c r="C147" s="55"/>
      <c r="D147" s="48"/>
      <c r="E147" s="10">
        <v>5</v>
      </c>
      <c r="F147" s="11">
        <v>19.489999999999998</v>
      </c>
      <c r="G147" s="11">
        <v>2</v>
      </c>
      <c r="H147" s="11" t="s">
        <v>19</v>
      </c>
      <c r="I147" s="11"/>
      <c r="J147" s="48"/>
      <c r="K147" s="59"/>
      <c r="L147" s="48"/>
      <c r="M147" s="59"/>
    </row>
    <row r="148" spans="1:13">
      <c r="A148" s="46">
        <v>30</v>
      </c>
      <c r="B148" s="53">
        <v>14</v>
      </c>
      <c r="C148" s="53" t="s">
        <v>35</v>
      </c>
      <c r="D148" s="46" t="s">
        <v>32</v>
      </c>
      <c r="E148" s="8">
        <v>1</v>
      </c>
      <c r="F148" s="9">
        <v>3.33</v>
      </c>
      <c r="G148" s="9">
        <v>2</v>
      </c>
      <c r="H148" s="5" t="s">
        <v>16</v>
      </c>
      <c r="I148" s="9">
        <v>32.85</v>
      </c>
      <c r="J148" s="47">
        <f t="shared" ref="J148" si="111">AVERAGE(F148:F152)</f>
        <v>9.3460000000000001</v>
      </c>
      <c r="K148" s="58">
        <f t="shared" ref="K148" si="112">STDEV(F148:F152)/SQRT(5)</f>
        <v>1.6045890439611001</v>
      </c>
      <c r="L148" s="47">
        <f t="shared" ref="L148" si="113">AVERAGE(G148:G152)</f>
        <v>1.7400000000000002</v>
      </c>
      <c r="M148" s="58">
        <f t="shared" ref="M148" si="114">STDEV(G148:G152)/SQRT(5)</f>
        <v>0.13999999999999957</v>
      </c>
    </row>
    <row r="149" spans="1:13">
      <c r="A149" s="47"/>
      <c r="B149" s="54"/>
      <c r="C149" s="54"/>
      <c r="D149" s="47"/>
      <c r="E149" s="7">
        <v>2</v>
      </c>
      <c r="F149" s="5">
        <v>12.47</v>
      </c>
      <c r="G149" s="5">
        <v>1.8</v>
      </c>
      <c r="H149" s="5" t="s">
        <v>17</v>
      </c>
      <c r="I149" s="5">
        <v>42.95</v>
      </c>
      <c r="J149" s="47"/>
      <c r="K149" s="58"/>
      <c r="L149" s="47"/>
      <c r="M149" s="58"/>
    </row>
    <row r="150" spans="1:13">
      <c r="A150" s="47"/>
      <c r="B150" s="54"/>
      <c r="C150" s="54"/>
      <c r="D150" s="47"/>
      <c r="E150" s="7">
        <v>3</v>
      </c>
      <c r="F150" s="5">
        <v>11.2</v>
      </c>
      <c r="G150" s="5">
        <v>1.2</v>
      </c>
      <c r="H150" s="5" t="s">
        <v>18</v>
      </c>
      <c r="I150" s="5">
        <v>21.33</v>
      </c>
      <c r="J150" s="47"/>
      <c r="K150" s="58"/>
      <c r="L150" s="47"/>
      <c r="M150" s="58"/>
    </row>
    <row r="151" spans="1:13">
      <c r="A151" s="47"/>
      <c r="B151" s="54"/>
      <c r="C151" s="54"/>
      <c r="D151" s="47"/>
      <c r="E151" s="7">
        <v>4</v>
      </c>
      <c r="F151" s="5">
        <v>10.75</v>
      </c>
      <c r="G151" s="5">
        <v>1.9</v>
      </c>
      <c r="H151" s="5" t="s">
        <v>19</v>
      </c>
      <c r="I151" s="5"/>
      <c r="J151" s="47"/>
      <c r="K151" s="58"/>
      <c r="L151" s="47"/>
      <c r="M151" s="58"/>
    </row>
    <row r="152" spans="1:13" ht="15.75" thickBot="1">
      <c r="A152" s="48"/>
      <c r="B152" s="55"/>
      <c r="C152" s="55"/>
      <c r="D152" s="48"/>
      <c r="E152" s="10">
        <v>5</v>
      </c>
      <c r="F152" s="11">
        <v>8.98</v>
      </c>
      <c r="G152" s="11">
        <v>1.8</v>
      </c>
      <c r="H152" s="11" t="s">
        <v>19</v>
      </c>
      <c r="I152" s="11"/>
      <c r="J152" s="48"/>
      <c r="K152" s="59"/>
      <c r="L152" s="48"/>
      <c r="M152" s="59"/>
    </row>
    <row r="153" spans="1:13">
      <c r="A153" s="46">
        <v>31</v>
      </c>
      <c r="B153" s="53">
        <v>15</v>
      </c>
      <c r="C153" s="53" t="s">
        <v>35</v>
      </c>
      <c r="D153" s="46" t="s">
        <v>33</v>
      </c>
      <c r="E153" s="8">
        <v>1</v>
      </c>
      <c r="F153" s="9">
        <v>8.39</v>
      </c>
      <c r="G153" s="9">
        <v>1.2</v>
      </c>
      <c r="H153" s="5" t="s">
        <v>16</v>
      </c>
      <c r="I153" s="9">
        <v>35.229999999999997</v>
      </c>
      <c r="J153" s="47">
        <f t="shared" ref="J153" si="115">AVERAGE(F153:F157)</f>
        <v>8.6179999999999986</v>
      </c>
      <c r="K153" s="58">
        <f t="shared" ref="K153" si="116">STDEV(F153:F157)/SQRT(5)</f>
        <v>1.0651638371630927</v>
      </c>
      <c r="L153" s="47">
        <f t="shared" ref="L153" si="117">AVERAGE(G153:G157)</f>
        <v>1.44</v>
      </c>
      <c r="M153" s="58">
        <f t="shared" ref="M153" si="118">STDEV(G153:G157)/SQRT(5)</f>
        <v>0.14696938456699044</v>
      </c>
    </row>
    <row r="154" spans="1:13">
      <c r="A154" s="47"/>
      <c r="B154" s="54"/>
      <c r="C154" s="54"/>
      <c r="D154" s="47"/>
      <c r="E154" s="7">
        <v>2</v>
      </c>
      <c r="F154" s="5">
        <v>5.88</v>
      </c>
      <c r="G154" s="5">
        <v>1.2</v>
      </c>
      <c r="H154" s="5" t="s">
        <v>17</v>
      </c>
      <c r="I154" s="5">
        <v>41.31</v>
      </c>
      <c r="J154" s="47"/>
      <c r="K154" s="58"/>
      <c r="L154" s="47"/>
      <c r="M154" s="58"/>
    </row>
    <row r="155" spans="1:13">
      <c r="A155" s="47"/>
      <c r="B155" s="54"/>
      <c r="C155" s="54"/>
      <c r="D155" s="47"/>
      <c r="E155" s="7">
        <v>3</v>
      </c>
      <c r="F155" s="5">
        <v>12.17</v>
      </c>
      <c r="G155" s="5">
        <v>1.8</v>
      </c>
      <c r="H155" s="5" t="s">
        <v>18</v>
      </c>
      <c r="I155" s="5">
        <v>22.41</v>
      </c>
      <c r="J155" s="47"/>
      <c r="K155" s="58"/>
      <c r="L155" s="47"/>
      <c r="M155" s="58"/>
    </row>
    <row r="156" spans="1:13">
      <c r="A156" s="47"/>
      <c r="B156" s="54"/>
      <c r="C156" s="54"/>
      <c r="D156" s="47"/>
      <c r="E156" s="7">
        <v>4</v>
      </c>
      <c r="F156" s="5">
        <v>9.41</v>
      </c>
      <c r="G156" s="5">
        <v>1.8</v>
      </c>
      <c r="H156" s="5" t="s">
        <v>19</v>
      </c>
      <c r="I156" s="5"/>
      <c r="J156" s="47"/>
      <c r="K156" s="58"/>
      <c r="L156" s="47"/>
      <c r="M156" s="58"/>
    </row>
    <row r="157" spans="1:13" ht="15.75" thickBot="1">
      <c r="A157" s="48"/>
      <c r="B157" s="55"/>
      <c r="C157" s="55"/>
      <c r="D157" s="48"/>
      <c r="E157" s="10">
        <v>5</v>
      </c>
      <c r="F157" s="11">
        <v>7.24</v>
      </c>
      <c r="G157" s="11">
        <v>1.2</v>
      </c>
      <c r="H157" s="11" t="s">
        <v>19</v>
      </c>
      <c r="I157" s="11"/>
      <c r="J157" s="48"/>
      <c r="K157" s="59"/>
      <c r="L157" s="48"/>
      <c r="M157" s="59"/>
    </row>
    <row r="158" spans="1:13">
      <c r="A158" s="46">
        <v>32</v>
      </c>
      <c r="B158" s="53">
        <v>16</v>
      </c>
      <c r="C158" s="53" t="s">
        <v>35</v>
      </c>
      <c r="D158" s="46" t="s">
        <v>34</v>
      </c>
      <c r="E158" s="8">
        <v>1</v>
      </c>
      <c r="F158" s="9">
        <v>10.08</v>
      </c>
      <c r="G158" s="9">
        <v>1.2</v>
      </c>
      <c r="H158" s="5" t="s">
        <v>16</v>
      </c>
      <c r="I158" s="9">
        <v>33.76</v>
      </c>
      <c r="J158" s="47">
        <f t="shared" ref="J158" si="119">AVERAGE(F158:F162)</f>
        <v>9.5740000000000016</v>
      </c>
      <c r="K158" s="58">
        <f t="shared" ref="K158" si="120">STDEV(F158:F162)/SQRT(5)</f>
        <v>1.0973313082200833</v>
      </c>
      <c r="L158" s="47">
        <f t="shared" ref="L158" si="121">AVERAGE(G158:G162)</f>
        <v>1.24</v>
      </c>
      <c r="M158" s="58">
        <f t="shared" ref="M158" si="122">STDEV(G158:G162)/SQRT(5)</f>
        <v>2.4494897427831803E-2</v>
      </c>
    </row>
    <row r="159" spans="1:13">
      <c r="A159" s="47"/>
      <c r="B159" s="54"/>
      <c r="C159" s="54"/>
      <c r="D159" s="47"/>
      <c r="E159" s="7">
        <v>2</v>
      </c>
      <c r="F159" s="5">
        <v>13.34</v>
      </c>
      <c r="G159" s="5">
        <v>1.3</v>
      </c>
      <c r="H159" s="5" t="s">
        <v>17</v>
      </c>
      <c r="I159" s="5">
        <v>41.26</v>
      </c>
      <c r="J159" s="47"/>
      <c r="K159" s="58"/>
      <c r="L159" s="47"/>
      <c r="M159" s="58"/>
    </row>
    <row r="160" spans="1:13">
      <c r="A160" s="47"/>
      <c r="B160" s="54"/>
      <c r="C160" s="54"/>
      <c r="D160" s="47"/>
      <c r="E160" s="7">
        <v>3</v>
      </c>
      <c r="F160" s="5">
        <v>7.13</v>
      </c>
      <c r="G160" s="5">
        <v>1.3</v>
      </c>
      <c r="H160" s="5" t="s">
        <v>18</v>
      </c>
      <c r="I160" s="5">
        <v>23.43</v>
      </c>
      <c r="J160" s="47"/>
      <c r="K160" s="58"/>
      <c r="L160" s="47"/>
      <c r="M160" s="58"/>
    </row>
    <row r="161" spans="1:13">
      <c r="A161" s="47"/>
      <c r="B161" s="54"/>
      <c r="C161" s="54"/>
      <c r="D161" s="47"/>
      <c r="E161" s="7">
        <v>4</v>
      </c>
      <c r="F161" s="5">
        <v>9.66</v>
      </c>
      <c r="G161" s="5">
        <v>1.2</v>
      </c>
      <c r="H161" s="5" t="s">
        <v>19</v>
      </c>
      <c r="I161" s="5"/>
      <c r="J161" s="47"/>
      <c r="K161" s="58"/>
      <c r="L161" s="47"/>
      <c r="M161" s="58"/>
    </row>
    <row r="162" spans="1:13" ht="15.75" thickBot="1">
      <c r="A162" s="48"/>
      <c r="B162" s="55"/>
      <c r="C162" s="55"/>
      <c r="D162" s="48"/>
      <c r="E162" s="10">
        <v>5</v>
      </c>
      <c r="F162" s="11">
        <v>7.66</v>
      </c>
      <c r="G162" s="11">
        <v>1.2</v>
      </c>
      <c r="H162" s="11" t="s">
        <v>19</v>
      </c>
      <c r="I162" s="11"/>
      <c r="J162" s="48"/>
      <c r="K162" s="59"/>
      <c r="L162" s="48"/>
      <c r="M162" s="59"/>
    </row>
    <row r="163" spans="1:13">
      <c r="A163" s="1"/>
      <c r="B163" s="2"/>
      <c r="C163" s="2"/>
      <c r="D163" s="4"/>
    </row>
    <row r="164" spans="1:13">
      <c r="A164" s="1"/>
      <c r="B164" s="2"/>
      <c r="C164" s="2"/>
      <c r="D164" s="4"/>
    </row>
    <row r="165" spans="1:13">
      <c r="A165" s="1"/>
      <c r="B165" s="2"/>
      <c r="C165" s="2"/>
      <c r="D165" s="4"/>
    </row>
    <row r="166" spans="1:13">
      <c r="A166" s="1"/>
      <c r="B166" s="2"/>
      <c r="C166" s="2"/>
      <c r="D166" s="4"/>
    </row>
    <row r="167" spans="1:13" ht="15.75" thickBot="1">
      <c r="A167" s="1"/>
      <c r="B167" s="3"/>
      <c r="C167" s="3"/>
      <c r="D167" s="4"/>
    </row>
  </sheetData>
  <mergeCells count="267">
    <mergeCell ref="M3:M7"/>
    <mergeCell ref="M8:M12"/>
    <mergeCell ref="M13:M17"/>
    <mergeCell ref="M18:M22"/>
    <mergeCell ref="M23:M27"/>
    <mergeCell ref="M28:M32"/>
    <mergeCell ref="M148:M152"/>
    <mergeCell ref="M153:M157"/>
    <mergeCell ref="M158:M162"/>
    <mergeCell ref="M103:M107"/>
    <mergeCell ref="M108:M112"/>
    <mergeCell ref="M113:M117"/>
    <mergeCell ref="M118:M122"/>
    <mergeCell ref="M123:M127"/>
    <mergeCell ref="M128:M132"/>
    <mergeCell ref="M133:M137"/>
    <mergeCell ref="M138:M142"/>
    <mergeCell ref="M143:M147"/>
    <mergeCell ref="M43:M47"/>
    <mergeCell ref="M48:M52"/>
    <mergeCell ref="M53:M57"/>
    <mergeCell ref="M73:M77"/>
    <mergeCell ref="M33:M37"/>
    <mergeCell ref="M38:M42"/>
    <mergeCell ref="M1:M2"/>
    <mergeCell ref="K1:K2"/>
    <mergeCell ref="M78:M82"/>
    <mergeCell ref="M83:M87"/>
    <mergeCell ref="M88:M92"/>
    <mergeCell ref="L1:L2"/>
    <mergeCell ref="K148:K152"/>
    <mergeCell ref="K153:K157"/>
    <mergeCell ref="M93:M97"/>
    <mergeCell ref="M98:M102"/>
    <mergeCell ref="K3:K7"/>
    <mergeCell ref="K8:K12"/>
    <mergeCell ref="K13:K17"/>
    <mergeCell ref="K18:K22"/>
    <mergeCell ref="K23:K27"/>
    <mergeCell ref="K28:K32"/>
    <mergeCell ref="K33:K37"/>
    <mergeCell ref="K38:K42"/>
    <mergeCell ref="K43:K47"/>
    <mergeCell ref="K48:K52"/>
    <mergeCell ref="K53:K57"/>
    <mergeCell ref="K58:K62"/>
    <mergeCell ref="K63:K67"/>
    <mergeCell ref="K68:K72"/>
    <mergeCell ref="M58:M62"/>
    <mergeCell ref="M63:M67"/>
    <mergeCell ref="M68:M72"/>
    <mergeCell ref="J143:J147"/>
    <mergeCell ref="L143:L147"/>
    <mergeCell ref="J93:J97"/>
    <mergeCell ref="L93:L97"/>
    <mergeCell ref="J98:J102"/>
    <mergeCell ref="L98:L102"/>
    <mergeCell ref="J103:J107"/>
    <mergeCell ref="L103:L107"/>
    <mergeCell ref="J108:J112"/>
    <mergeCell ref="L108:L112"/>
    <mergeCell ref="J113:J117"/>
    <mergeCell ref="L113:L117"/>
    <mergeCell ref="K93:K97"/>
    <mergeCell ref="K98:K102"/>
    <mergeCell ref="K103:K107"/>
    <mergeCell ref="K108:K112"/>
    <mergeCell ref="K113:K117"/>
    <mergeCell ref="K73:K77"/>
    <mergeCell ref="J73:J77"/>
    <mergeCell ref="L73:L77"/>
    <mergeCell ref="J78:J82"/>
    <mergeCell ref="J148:J152"/>
    <mergeCell ref="L148:L152"/>
    <mergeCell ref="J153:J157"/>
    <mergeCell ref="L153:L157"/>
    <mergeCell ref="J158:J162"/>
    <mergeCell ref="L158:L162"/>
    <mergeCell ref="J118:J122"/>
    <mergeCell ref="L118:L122"/>
    <mergeCell ref="J123:J127"/>
    <mergeCell ref="L123:L127"/>
    <mergeCell ref="J128:J132"/>
    <mergeCell ref="L128:L132"/>
    <mergeCell ref="J133:J137"/>
    <mergeCell ref="L133:L137"/>
    <mergeCell ref="J138:J142"/>
    <mergeCell ref="L138:L142"/>
    <mergeCell ref="K118:K122"/>
    <mergeCell ref="K123:K127"/>
    <mergeCell ref="K128:K132"/>
    <mergeCell ref="K133:K137"/>
    <mergeCell ref="K138:K142"/>
    <mergeCell ref="K143:K147"/>
    <mergeCell ref="K158:K162"/>
    <mergeCell ref="L78:L82"/>
    <mergeCell ref="J83:J87"/>
    <mergeCell ref="L83:L87"/>
    <mergeCell ref="J88:J92"/>
    <mergeCell ref="L88:L92"/>
    <mergeCell ref="K88:K92"/>
    <mergeCell ref="K78:K82"/>
    <mergeCell ref="K83:K87"/>
    <mergeCell ref="J48:J52"/>
    <mergeCell ref="L48:L52"/>
    <mergeCell ref="J53:J57"/>
    <mergeCell ref="L53:L57"/>
    <mergeCell ref="J58:J62"/>
    <mergeCell ref="L58:L62"/>
    <mergeCell ref="J63:J67"/>
    <mergeCell ref="L63:L67"/>
    <mergeCell ref="J68:J72"/>
    <mergeCell ref="L68:L72"/>
    <mergeCell ref="J23:J27"/>
    <mergeCell ref="L23:L27"/>
    <mergeCell ref="J28:J32"/>
    <mergeCell ref="L28:L32"/>
    <mergeCell ref="J33:J37"/>
    <mergeCell ref="L33:L37"/>
    <mergeCell ref="J38:J42"/>
    <mergeCell ref="L38:L42"/>
    <mergeCell ref="J43:J47"/>
    <mergeCell ref="L43:L47"/>
    <mergeCell ref="J1:J2"/>
    <mergeCell ref="J3:J7"/>
    <mergeCell ref="L3:L7"/>
    <mergeCell ref="J8:J12"/>
    <mergeCell ref="L8:L12"/>
    <mergeCell ref="J13:J17"/>
    <mergeCell ref="L13:L17"/>
    <mergeCell ref="D18:D22"/>
    <mergeCell ref="J18:J22"/>
    <mergeCell ref="L18:L22"/>
    <mergeCell ref="C18:C22"/>
    <mergeCell ref="B18:B22"/>
    <mergeCell ref="A18:A22"/>
    <mergeCell ref="A23:A27"/>
    <mergeCell ref="B23:B27"/>
    <mergeCell ref="C23:C27"/>
    <mergeCell ref="D23:D27"/>
    <mergeCell ref="D3:D7"/>
    <mergeCell ref="C3:C7"/>
    <mergeCell ref="B3:B7"/>
    <mergeCell ref="A3:A7"/>
    <mergeCell ref="D8:D12"/>
    <mergeCell ref="C8:C12"/>
    <mergeCell ref="B8:B12"/>
    <mergeCell ref="A8:A12"/>
    <mergeCell ref="D13:D17"/>
    <mergeCell ref="C13:C17"/>
    <mergeCell ref="B13:B17"/>
    <mergeCell ref="A13:A17"/>
    <mergeCell ref="A38:A42"/>
    <mergeCell ref="B38:B42"/>
    <mergeCell ref="C38:C42"/>
    <mergeCell ref="D38:D42"/>
    <mergeCell ref="A43:A47"/>
    <mergeCell ref="B43:B47"/>
    <mergeCell ref="C43:C47"/>
    <mergeCell ref="D43:D47"/>
    <mergeCell ref="A28:A32"/>
    <mergeCell ref="B28:B32"/>
    <mergeCell ref="C28:C32"/>
    <mergeCell ref="D28:D32"/>
    <mergeCell ref="A33:A37"/>
    <mergeCell ref="B33:B37"/>
    <mergeCell ref="C33:C37"/>
    <mergeCell ref="D33:D37"/>
    <mergeCell ref="B58:B62"/>
    <mergeCell ref="C58:C62"/>
    <mergeCell ref="D58:D62"/>
    <mergeCell ref="B63:B67"/>
    <mergeCell ref="C63:C67"/>
    <mergeCell ref="D63:D67"/>
    <mergeCell ref="A48:A52"/>
    <mergeCell ref="B48:B52"/>
    <mergeCell ref="C48:C52"/>
    <mergeCell ref="D48:D52"/>
    <mergeCell ref="A53:A57"/>
    <mergeCell ref="B53:B57"/>
    <mergeCell ref="C53:C57"/>
    <mergeCell ref="D53:D57"/>
    <mergeCell ref="B78:B82"/>
    <mergeCell ref="C78:C82"/>
    <mergeCell ref="D78:D82"/>
    <mergeCell ref="B83:B87"/>
    <mergeCell ref="C83:C87"/>
    <mergeCell ref="D83:D87"/>
    <mergeCell ref="B68:B72"/>
    <mergeCell ref="C68:C72"/>
    <mergeCell ref="D68:D72"/>
    <mergeCell ref="B73:B77"/>
    <mergeCell ref="C73:C77"/>
    <mergeCell ref="D73:D77"/>
    <mergeCell ref="B98:B102"/>
    <mergeCell ref="C98:C102"/>
    <mergeCell ref="D98:D102"/>
    <mergeCell ref="B103:B107"/>
    <mergeCell ref="C103:C107"/>
    <mergeCell ref="D103:D107"/>
    <mergeCell ref="B88:B92"/>
    <mergeCell ref="C88:C92"/>
    <mergeCell ref="D88:D92"/>
    <mergeCell ref="B93:B97"/>
    <mergeCell ref="C93:C97"/>
    <mergeCell ref="D93:D97"/>
    <mergeCell ref="D133:D137"/>
    <mergeCell ref="B118:B122"/>
    <mergeCell ref="C118:C122"/>
    <mergeCell ref="D118:D122"/>
    <mergeCell ref="B123:B127"/>
    <mergeCell ref="C123:C127"/>
    <mergeCell ref="D123:D127"/>
    <mergeCell ref="B108:B112"/>
    <mergeCell ref="C108:C112"/>
    <mergeCell ref="D108:D112"/>
    <mergeCell ref="B113:B117"/>
    <mergeCell ref="C113:C117"/>
    <mergeCell ref="D113:D117"/>
    <mergeCell ref="A68:A72"/>
    <mergeCell ref="A73:A77"/>
    <mergeCell ref="A78:A82"/>
    <mergeCell ref="A83:A87"/>
    <mergeCell ref="B158:B162"/>
    <mergeCell ref="C158:C162"/>
    <mergeCell ref="D158:D162"/>
    <mergeCell ref="B148:B152"/>
    <mergeCell ref="C148:C152"/>
    <mergeCell ref="D148:D152"/>
    <mergeCell ref="B153:B157"/>
    <mergeCell ref="C153:C157"/>
    <mergeCell ref="D153:D157"/>
    <mergeCell ref="B138:B142"/>
    <mergeCell ref="C138:C142"/>
    <mergeCell ref="D138:D142"/>
    <mergeCell ref="B143:B147"/>
    <mergeCell ref="C143:C147"/>
    <mergeCell ref="D143:D147"/>
    <mergeCell ref="B128:B132"/>
    <mergeCell ref="C128:C132"/>
    <mergeCell ref="D128:D132"/>
    <mergeCell ref="B133:B137"/>
    <mergeCell ref="C133:C137"/>
    <mergeCell ref="A1:A2"/>
    <mergeCell ref="A148:A152"/>
    <mergeCell ref="A153:A157"/>
    <mergeCell ref="A158:A162"/>
    <mergeCell ref="H1:H2"/>
    <mergeCell ref="I1:I2"/>
    <mergeCell ref="E1:E2"/>
    <mergeCell ref="D1:D2"/>
    <mergeCell ref="C1:C2"/>
    <mergeCell ref="B1:B2"/>
    <mergeCell ref="A118:A122"/>
    <mergeCell ref="A123:A127"/>
    <mergeCell ref="A128:A132"/>
    <mergeCell ref="A133:A137"/>
    <mergeCell ref="A138:A142"/>
    <mergeCell ref="A143:A147"/>
    <mergeCell ref="A88:A92"/>
    <mergeCell ref="A93:A97"/>
    <mergeCell ref="A98:A102"/>
    <mergeCell ref="A103:A107"/>
    <mergeCell ref="A108:A112"/>
    <mergeCell ref="A113:A117"/>
    <mergeCell ref="A58:A62"/>
    <mergeCell ref="A63:A6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E59276-0382-49CE-812D-79D5BBE5EA56}">
  <dimension ref="A1:O34"/>
  <sheetViews>
    <sheetView tabSelected="1" topLeftCell="B1" zoomScale="85" zoomScaleNormal="85" workbookViewId="0">
      <selection activeCell="K3" sqref="K3"/>
    </sheetView>
  </sheetViews>
  <sheetFormatPr defaultColWidth="11.42578125" defaultRowHeight="15"/>
  <cols>
    <col min="5" max="5" width="16.140625" customWidth="1"/>
    <col min="6" max="6" width="15.28515625" bestFit="1" customWidth="1"/>
    <col min="10" max="10" width="11.85546875" bestFit="1" customWidth="1"/>
    <col min="14" max="14" width="21.85546875" customWidth="1"/>
    <col min="15" max="15" width="14.42578125" customWidth="1"/>
  </cols>
  <sheetData>
    <row r="1" spans="1:15">
      <c r="A1" s="43" t="s">
        <v>0</v>
      </c>
      <c r="B1" s="40" t="s">
        <v>1</v>
      </c>
      <c r="C1" s="40" t="s">
        <v>2</v>
      </c>
      <c r="D1" s="40" t="s">
        <v>3</v>
      </c>
      <c r="E1" s="42" t="s">
        <v>37</v>
      </c>
      <c r="F1" s="42" t="s">
        <v>38</v>
      </c>
      <c r="G1" s="40" t="s">
        <v>16</v>
      </c>
      <c r="H1" s="40" t="s">
        <v>39</v>
      </c>
      <c r="I1" s="40" t="s">
        <v>40</v>
      </c>
      <c r="J1" s="40" t="s">
        <v>41</v>
      </c>
      <c r="K1" s="40" t="s">
        <v>42</v>
      </c>
      <c r="L1" s="42" t="s">
        <v>43</v>
      </c>
      <c r="M1" s="21" t="s">
        <v>44</v>
      </c>
      <c r="N1" s="24" t="s">
        <v>45</v>
      </c>
      <c r="O1" s="38" t="s">
        <v>46</v>
      </c>
    </row>
    <row r="2" spans="1:15">
      <c r="A2" s="44"/>
      <c r="B2" s="41"/>
      <c r="C2" s="41"/>
      <c r="D2" s="41"/>
      <c r="E2" s="42"/>
      <c r="F2" s="42"/>
      <c r="G2" s="45"/>
      <c r="H2" s="41"/>
      <c r="I2" s="41"/>
      <c r="J2" s="41"/>
      <c r="K2" s="41"/>
      <c r="L2" s="42"/>
      <c r="M2" s="23" t="s">
        <v>47</v>
      </c>
      <c r="N2" s="22" t="s">
        <v>48</v>
      </c>
      <c r="O2" s="39"/>
    </row>
    <row r="3" spans="1:15">
      <c r="A3" s="6">
        <v>1</v>
      </c>
      <c r="B3" s="6">
        <v>1</v>
      </c>
      <c r="C3" s="6" t="s">
        <v>14</v>
      </c>
      <c r="D3" s="26" t="s">
        <v>15</v>
      </c>
      <c r="E3" s="5">
        <v>11.33</v>
      </c>
      <c r="F3" s="5">
        <v>1.8800000000000001</v>
      </c>
      <c r="G3" s="5">
        <v>33.479999999999997</v>
      </c>
      <c r="H3" s="27">
        <v>42.91</v>
      </c>
      <c r="I3" s="5">
        <v>22.23</v>
      </c>
      <c r="J3" s="25">
        <f>DEGREES(ATAN(I3/H3))</f>
        <v>27.386914825196367</v>
      </c>
      <c r="K3" s="25">
        <f t="shared" ref="K3:K34" si="0">SQRT(H3^2 + I3^2)</f>
        <v>48.326400652231484</v>
      </c>
      <c r="L3" s="5">
        <v>8.8000000000000007</v>
      </c>
      <c r="M3" s="5">
        <v>6.5</v>
      </c>
      <c r="N3" s="5">
        <f>((M3*0.1*0.064)/5)*100</f>
        <v>0.83200000000000007</v>
      </c>
      <c r="O3" s="25">
        <f>L3/N3</f>
        <v>10.576923076923077</v>
      </c>
    </row>
    <row r="4" spans="1:15">
      <c r="A4" s="18">
        <v>2</v>
      </c>
      <c r="B4" s="19">
        <v>2</v>
      </c>
      <c r="C4" s="19" t="s">
        <v>14</v>
      </c>
      <c r="D4" s="18" t="s">
        <v>20</v>
      </c>
      <c r="E4" s="5">
        <v>8.2379999999999995</v>
      </c>
      <c r="F4" s="5">
        <v>1.9600000000000002</v>
      </c>
      <c r="G4" s="9">
        <v>36.01</v>
      </c>
      <c r="H4" s="5">
        <v>40.630000000000003</v>
      </c>
      <c r="I4" s="5">
        <v>26.4</v>
      </c>
      <c r="J4" s="25">
        <f t="shared" ref="J4:J34" si="1">DEGREES(ATAN(I4/H4))</f>
        <v>33.014448799948383</v>
      </c>
      <c r="K4" s="25">
        <f t="shared" si="0"/>
        <v>48.453657240707848</v>
      </c>
      <c r="L4" s="5">
        <v>9.3000000000000007</v>
      </c>
      <c r="M4" s="5">
        <v>6.9</v>
      </c>
      <c r="N4" s="5">
        <f t="shared" ref="N4:N34" si="2">((M4*0.1*0.064)/5)*100</f>
        <v>0.8832000000000001</v>
      </c>
      <c r="O4" s="25">
        <f t="shared" ref="O4:O34" si="3">L4/N4</f>
        <v>10.529891304347826</v>
      </c>
    </row>
    <row r="5" spans="1:15">
      <c r="A5" s="18">
        <v>3</v>
      </c>
      <c r="B5" s="19">
        <v>3</v>
      </c>
      <c r="C5" s="19" t="s">
        <v>14</v>
      </c>
      <c r="D5" s="18" t="s">
        <v>21</v>
      </c>
      <c r="E5" s="5">
        <v>11.416</v>
      </c>
      <c r="F5" s="5">
        <v>1.94</v>
      </c>
      <c r="G5" s="9">
        <v>31.11</v>
      </c>
      <c r="H5" s="5">
        <v>38.36</v>
      </c>
      <c r="I5" s="5">
        <v>18.57</v>
      </c>
      <c r="J5" s="25">
        <f t="shared" si="1"/>
        <v>25.831532108339776</v>
      </c>
      <c r="K5" s="25">
        <f t="shared" si="0"/>
        <v>42.618476040327863</v>
      </c>
      <c r="L5" s="5">
        <v>9.9</v>
      </c>
      <c r="M5" s="5">
        <v>6</v>
      </c>
      <c r="N5" s="5">
        <f t="shared" si="2"/>
        <v>0.76800000000000013</v>
      </c>
      <c r="O5" s="25">
        <f t="shared" si="3"/>
        <v>12.890624999999998</v>
      </c>
    </row>
    <row r="6" spans="1:15">
      <c r="A6" s="18">
        <v>4</v>
      </c>
      <c r="B6" s="19">
        <v>4</v>
      </c>
      <c r="C6" s="19" t="s">
        <v>14</v>
      </c>
      <c r="D6" s="18" t="s">
        <v>22</v>
      </c>
      <c r="E6" s="5">
        <v>10.01</v>
      </c>
      <c r="F6" s="5">
        <v>1.6199999999999999</v>
      </c>
      <c r="G6" s="9">
        <v>34.729999999999997</v>
      </c>
      <c r="H6" s="5">
        <v>37.82</v>
      </c>
      <c r="I6" s="5">
        <v>22.18</v>
      </c>
      <c r="J6" s="25">
        <f t="shared" si="1"/>
        <v>30.390011058639864</v>
      </c>
      <c r="K6" s="25">
        <f t="shared" si="0"/>
        <v>43.844096523933523</v>
      </c>
      <c r="L6" s="5">
        <v>9.6</v>
      </c>
      <c r="M6" s="5">
        <v>7</v>
      </c>
      <c r="N6" s="5">
        <f t="shared" si="2"/>
        <v>0.89600000000000013</v>
      </c>
      <c r="O6" s="25">
        <f t="shared" si="3"/>
        <v>10.714285714285712</v>
      </c>
    </row>
    <row r="7" spans="1:15">
      <c r="A7" s="18">
        <v>5</v>
      </c>
      <c r="B7" s="19">
        <v>5</v>
      </c>
      <c r="C7" s="19" t="s">
        <v>14</v>
      </c>
      <c r="D7" s="18" t="s">
        <v>23</v>
      </c>
      <c r="E7" s="5">
        <v>9.0939999999999994</v>
      </c>
      <c r="F7" s="5">
        <v>1.3599999999999999</v>
      </c>
      <c r="G7" s="9">
        <v>32.75</v>
      </c>
      <c r="H7" s="5">
        <v>40.79</v>
      </c>
      <c r="I7" s="5">
        <v>21.86</v>
      </c>
      <c r="J7" s="25">
        <f t="shared" si="1"/>
        <v>28.187554633693871</v>
      </c>
      <c r="K7" s="25">
        <f t="shared" si="0"/>
        <v>46.278328621504905</v>
      </c>
      <c r="L7" s="5">
        <v>10.3</v>
      </c>
      <c r="M7" s="5">
        <v>6.4</v>
      </c>
      <c r="N7" s="5">
        <f t="shared" si="2"/>
        <v>0.81920000000000015</v>
      </c>
      <c r="O7" s="25">
        <f t="shared" si="3"/>
        <v>12.573242187499998</v>
      </c>
    </row>
    <row r="8" spans="1:15">
      <c r="A8" s="18">
        <v>6</v>
      </c>
      <c r="B8" s="19">
        <v>6</v>
      </c>
      <c r="C8" s="19" t="s">
        <v>14</v>
      </c>
      <c r="D8" s="18" t="s">
        <v>24</v>
      </c>
      <c r="E8" s="5">
        <v>9.2420000000000009</v>
      </c>
      <c r="F8" s="5">
        <v>1.2</v>
      </c>
      <c r="G8" s="5">
        <v>33.340000000000003</v>
      </c>
      <c r="H8" s="5">
        <v>38.89</v>
      </c>
      <c r="I8" s="5">
        <v>18.89</v>
      </c>
      <c r="J8" s="25">
        <f t="shared" si="1"/>
        <v>25.90718916768509</v>
      </c>
      <c r="K8" s="25">
        <f t="shared" si="0"/>
        <v>43.234988146176242</v>
      </c>
      <c r="L8" s="5">
        <v>10</v>
      </c>
      <c r="M8" s="5">
        <v>6.5</v>
      </c>
      <c r="N8" s="5">
        <f t="shared" si="2"/>
        <v>0.83200000000000007</v>
      </c>
      <c r="O8" s="25">
        <f t="shared" si="3"/>
        <v>12.019230769230768</v>
      </c>
    </row>
    <row r="9" spans="1:15">
      <c r="A9" s="18">
        <v>7</v>
      </c>
      <c r="B9" s="19">
        <v>7</v>
      </c>
      <c r="C9" s="19" t="s">
        <v>14</v>
      </c>
      <c r="D9" s="18" t="s">
        <v>25</v>
      </c>
      <c r="E9" s="5">
        <v>8.370000000000001</v>
      </c>
      <c r="F9" s="5">
        <v>1.44</v>
      </c>
      <c r="G9" s="9">
        <v>39.22</v>
      </c>
      <c r="H9" s="5">
        <v>41.78</v>
      </c>
      <c r="I9" s="5">
        <v>25.52</v>
      </c>
      <c r="J9" s="25">
        <f t="shared" si="1"/>
        <v>31.417360386806628</v>
      </c>
      <c r="K9" s="25">
        <f t="shared" si="0"/>
        <v>48.957520362044484</v>
      </c>
      <c r="L9" s="5">
        <v>9.8000000000000007</v>
      </c>
      <c r="M9" s="5">
        <v>6.1</v>
      </c>
      <c r="N9" s="5">
        <f t="shared" si="2"/>
        <v>0.78079999999999994</v>
      </c>
      <c r="O9" s="25">
        <f t="shared" si="3"/>
        <v>12.551229508196723</v>
      </c>
    </row>
    <row r="10" spans="1:15">
      <c r="A10" s="18">
        <v>8</v>
      </c>
      <c r="B10" s="19">
        <v>8</v>
      </c>
      <c r="C10" s="19" t="s">
        <v>14</v>
      </c>
      <c r="D10" s="18" t="s">
        <v>26</v>
      </c>
      <c r="E10" s="5">
        <v>10.757999999999999</v>
      </c>
      <c r="F10" s="5">
        <v>1.5400000000000003</v>
      </c>
      <c r="G10" s="9">
        <v>32.130000000000003</v>
      </c>
      <c r="H10" s="5">
        <v>37.82</v>
      </c>
      <c r="I10" s="5">
        <v>17.7</v>
      </c>
      <c r="J10" s="25">
        <f t="shared" si="1"/>
        <v>25.079892284352436</v>
      </c>
      <c r="K10" s="25">
        <f t="shared" si="0"/>
        <v>41.756944332649631</v>
      </c>
      <c r="L10" s="5">
        <v>9.5</v>
      </c>
      <c r="M10" s="5">
        <v>6</v>
      </c>
      <c r="N10" s="5">
        <f t="shared" si="2"/>
        <v>0.76800000000000013</v>
      </c>
      <c r="O10" s="25">
        <f t="shared" si="3"/>
        <v>12.369791666666664</v>
      </c>
    </row>
    <row r="11" spans="1:15">
      <c r="A11" s="18">
        <v>9</v>
      </c>
      <c r="B11" s="19">
        <v>9</v>
      </c>
      <c r="C11" s="19" t="s">
        <v>14</v>
      </c>
      <c r="D11" s="18" t="s">
        <v>27</v>
      </c>
      <c r="E11" s="5">
        <v>7.55</v>
      </c>
      <c r="F11" s="5">
        <v>1.52</v>
      </c>
      <c r="G11" s="9">
        <v>30.59</v>
      </c>
      <c r="H11" s="5">
        <v>39.369999999999997</v>
      </c>
      <c r="I11" s="5">
        <v>20.309999999999999</v>
      </c>
      <c r="J11" s="25">
        <f t="shared" si="1"/>
        <v>27.288079169648082</v>
      </c>
      <c r="K11" s="25">
        <f t="shared" si="0"/>
        <v>44.300033860032208</v>
      </c>
      <c r="L11" s="5">
        <v>9.8000000000000007</v>
      </c>
      <c r="M11" s="5">
        <v>6.3</v>
      </c>
      <c r="N11" s="5">
        <f t="shared" si="2"/>
        <v>0.80640000000000001</v>
      </c>
      <c r="O11" s="25">
        <f t="shared" si="3"/>
        <v>12.152777777777779</v>
      </c>
    </row>
    <row r="12" spans="1:15">
      <c r="A12" s="18">
        <v>10</v>
      </c>
      <c r="B12" s="19">
        <v>10</v>
      </c>
      <c r="C12" s="19" t="s">
        <v>14</v>
      </c>
      <c r="D12" s="18" t="s">
        <v>28</v>
      </c>
      <c r="E12" s="5">
        <v>11.877999999999998</v>
      </c>
      <c r="F12" s="5">
        <v>1.5399999999999998</v>
      </c>
      <c r="G12" s="9">
        <v>30.54</v>
      </c>
      <c r="H12" s="5">
        <v>32.96</v>
      </c>
      <c r="I12" s="5">
        <v>16.27</v>
      </c>
      <c r="J12" s="25">
        <f t="shared" si="1"/>
        <v>26.272265948536045</v>
      </c>
      <c r="K12" s="25">
        <f t="shared" si="0"/>
        <v>36.756965326316042</v>
      </c>
      <c r="L12" s="5">
        <v>9.6999999999999993</v>
      </c>
      <c r="M12" s="5">
        <v>6.5</v>
      </c>
      <c r="N12" s="5">
        <f t="shared" si="2"/>
        <v>0.83200000000000007</v>
      </c>
      <c r="O12" s="25">
        <f t="shared" si="3"/>
        <v>11.658653846153845</v>
      </c>
    </row>
    <row r="13" spans="1:15">
      <c r="A13" s="18">
        <v>11</v>
      </c>
      <c r="B13" s="19">
        <v>11</v>
      </c>
      <c r="C13" s="19" t="s">
        <v>14</v>
      </c>
      <c r="D13" s="18" t="s">
        <v>29</v>
      </c>
      <c r="E13" s="5">
        <v>11.256</v>
      </c>
      <c r="F13" s="5">
        <v>1.1000000000000001</v>
      </c>
      <c r="G13" s="9">
        <v>35.869999999999997</v>
      </c>
      <c r="H13" s="5">
        <v>39.92</v>
      </c>
      <c r="I13" s="5">
        <v>24.51</v>
      </c>
      <c r="J13" s="25">
        <f t="shared" si="1"/>
        <v>31.549007750118481</v>
      </c>
      <c r="K13" s="25">
        <f t="shared" si="0"/>
        <v>46.843852318100396</v>
      </c>
      <c r="L13" s="5">
        <v>9.5</v>
      </c>
      <c r="M13" s="5">
        <v>6.7</v>
      </c>
      <c r="N13" s="5">
        <f t="shared" si="2"/>
        <v>0.85760000000000003</v>
      </c>
      <c r="O13" s="25">
        <f t="shared" si="3"/>
        <v>11.077425373134329</v>
      </c>
    </row>
    <row r="14" spans="1:15">
      <c r="A14" s="18">
        <v>12</v>
      </c>
      <c r="B14" s="19">
        <v>12</v>
      </c>
      <c r="C14" s="19" t="s">
        <v>14</v>
      </c>
      <c r="D14" s="18" t="s">
        <v>30</v>
      </c>
      <c r="E14" s="5">
        <v>8.3800000000000008</v>
      </c>
      <c r="F14" s="5">
        <v>1.18</v>
      </c>
      <c r="G14" s="9">
        <v>32.03</v>
      </c>
      <c r="H14" s="5">
        <v>40.85</v>
      </c>
      <c r="I14" s="5">
        <v>19.559999999999999</v>
      </c>
      <c r="J14" s="25">
        <f t="shared" si="1"/>
        <v>25.586263342801338</v>
      </c>
      <c r="K14" s="25">
        <f t="shared" si="0"/>
        <v>45.291457251892439</v>
      </c>
      <c r="L14" s="5">
        <v>8.6999999999999993</v>
      </c>
      <c r="M14" s="5">
        <v>6.3</v>
      </c>
      <c r="N14" s="5">
        <f t="shared" si="2"/>
        <v>0.80640000000000001</v>
      </c>
      <c r="O14" s="25">
        <f t="shared" si="3"/>
        <v>10.788690476190474</v>
      </c>
    </row>
    <row r="15" spans="1:15">
      <c r="A15" s="18">
        <v>13</v>
      </c>
      <c r="B15" s="19">
        <v>13</v>
      </c>
      <c r="C15" s="19" t="s">
        <v>14</v>
      </c>
      <c r="D15" s="18" t="s">
        <v>31</v>
      </c>
      <c r="E15" s="5">
        <v>10.206</v>
      </c>
      <c r="F15" s="5">
        <v>1.2600000000000002</v>
      </c>
      <c r="G15" s="9">
        <v>33.369999999999997</v>
      </c>
      <c r="H15" s="5">
        <v>37.32</v>
      </c>
      <c r="I15" s="5">
        <v>23.88</v>
      </c>
      <c r="J15" s="25">
        <f t="shared" si="1"/>
        <v>32.614014877073465</v>
      </c>
      <c r="K15" s="25">
        <f t="shared" si="0"/>
        <v>44.306171127733435</v>
      </c>
      <c r="L15" s="5">
        <v>10.199999999999999</v>
      </c>
      <c r="M15" s="5">
        <v>6.6</v>
      </c>
      <c r="N15" s="5">
        <f t="shared" si="2"/>
        <v>0.84480000000000011</v>
      </c>
      <c r="O15" s="25">
        <f t="shared" si="3"/>
        <v>12.073863636363633</v>
      </c>
    </row>
    <row r="16" spans="1:15">
      <c r="A16" s="18">
        <v>14</v>
      </c>
      <c r="B16" s="19">
        <v>14</v>
      </c>
      <c r="C16" s="19" t="s">
        <v>14</v>
      </c>
      <c r="D16" s="18" t="s">
        <v>32</v>
      </c>
      <c r="E16" s="5">
        <v>11.414000000000001</v>
      </c>
      <c r="F16" s="5">
        <v>1.2200000000000002</v>
      </c>
      <c r="G16" s="9">
        <v>30.67</v>
      </c>
      <c r="H16" s="5">
        <v>36.83</v>
      </c>
      <c r="I16" s="5">
        <v>20.43</v>
      </c>
      <c r="J16" s="25">
        <f t="shared" si="1"/>
        <v>29.017606691130304</v>
      </c>
      <c r="K16" s="25">
        <f t="shared" si="0"/>
        <v>42.116906344127415</v>
      </c>
      <c r="L16" s="5">
        <v>10.7</v>
      </c>
      <c r="M16" s="5">
        <v>6.7</v>
      </c>
      <c r="N16" s="5">
        <f t="shared" si="2"/>
        <v>0.85760000000000003</v>
      </c>
      <c r="O16" s="25">
        <f t="shared" si="3"/>
        <v>12.476679104477611</v>
      </c>
    </row>
    <row r="17" spans="1:15">
      <c r="A17" s="18">
        <v>15</v>
      </c>
      <c r="B17" s="19">
        <v>15</v>
      </c>
      <c r="C17" s="19" t="s">
        <v>14</v>
      </c>
      <c r="D17" s="18" t="s">
        <v>33</v>
      </c>
      <c r="E17" s="5">
        <v>10.219999999999999</v>
      </c>
      <c r="F17" s="5">
        <v>1.1000000000000001</v>
      </c>
      <c r="G17" s="9">
        <v>30.84</v>
      </c>
      <c r="H17" s="5">
        <v>37.200000000000003</v>
      </c>
      <c r="I17" s="5">
        <v>18.41</v>
      </c>
      <c r="J17" s="25">
        <f t="shared" si="1"/>
        <v>26.330461428645211</v>
      </c>
      <c r="K17" s="25">
        <f t="shared" si="0"/>
        <v>41.506241699291451</v>
      </c>
      <c r="L17" s="5">
        <v>8.9</v>
      </c>
      <c r="M17" s="5">
        <v>6.6</v>
      </c>
      <c r="N17" s="5">
        <f t="shared" si="2"/>
        <v>0.84480000000000011</v>
      </c>
      <c r="O17" s="25">
        <f t="shared" si="3"/>
        <v>10.535037878787877</v>
      </c>
    </row>
    <row r="18" spans="1:15">
      <c r="A18" s="18">
        <v>16</v>
      </c>
      <c r="B18" s="19">
        <v>16</v>
      </c>
      <c r="C18" s="19" t="s">
        <v>14</v>
      </c>
      <c r="D18" s="18" t="s">
        <v>34</v>
      </c>
      <c r="E18" s="5">
        <v>10.012</v>
      </c>
      <c r="F18" s="5">
        <v>1.2600000000000002</v>
      </c>
      <c r="G18" s="9">
        <v>29.22</v>
      </c>
      <c r="H18" s="5">
        <v>30.27</v>
      </c>
      <c r="I18" s="5">
        <v>15</v>
      </c>
      <c r="J18" s="25">
        <f t="shared" si="1"/>
        <v>26.360261733190054</v>
      </c>
      <c r="K18" s="25">
        <f t="shared" si="0"/>
        <v>33.782730795481882</v>
      </c>
      <c r="L18" s="5">
        <v>8.3000000000000007</v>
      </c>
      <c r="M18" s="5">
        <v>5.8</v>
      </c>
      <c r="N18" s="5">
        <f t="shared" si="2"/>
        <v>0.74239999999999995</v>
      </c>
      <c r="O18" s="25">
        <f t="shared" si="3"/>
        <v>11.179956896551726</v>
      </c>
    </row>
    <row r="19" spans="1:15">
      <c r="A19" s="18">
        <v>17</v>
      </c>
      <c r="B19" s="18">
        <v>1</v>
      </c>
      <c r="C19" s="19" t="s">
        <v>35</v>
      </c>
      <c r="D19" s="18" t="s">
        <v>15</v>
      </c>
      <c r="E19" s="5">
        <v>9.282</v>
      </c>
      <c r="F19" s="5">
        <v>1.3800000000000001</v>
      </c>
      <c r="G19" s="9">
        <v>38.53</v>
      </c>
      <c r="H19" s="5">
        <v>45.58</v>
      </c>
      <c r="I19" s="5">
        <v>31.45</v>
      </c>
      <c r="J19" s="25">
        <f t="shared" si="1"/>
        <v>34.605505232513373</v>
      </c>
      <c r="K19" s="25">
        <f t="shared" si="0"/>
        <v>55.377241715347289</v>
      </c>
      <c r="L19" s="5">
        <v>9.8000000000000007</v>
      </c>
      <c r="M19" s="5">
        <v>7</v>
      </c>
      <c r="N19" s="5">
        <f t="shared" si="2"/>
        <v>0.89600000000000013</v>
      </c>
      <c r="O19" s="25">
        <f t="shared" si="3"/>
        <v>10.9375</v>
      </c>
    </row>
    <row r="20" spans="1:15">
      <c r="A20" s="18">
        <v>18</v>
      </c>
      <c r="B20" s="19">
        <v>2</v>
      </c>
      <c r="C20" s="19" t="s">
        <v>35</v>
      </c>
      <c r="D20" s="18" t="s">
        <v>20</v>
      </c>
      <c r="E20" s="5">
        <v>10.674000000000001</v>
      </c>
      <c r="F20" s="5">
        <v>1.3399999999999999</v>
      </c>
      <c r="G20" s="9">
        <v>38.53</v>
      </c>
      <c r="H20" s="5">
        <v>45.88</v>
      </c>
      <c r="I20" s="5">
        <v>31.45</v>
      </c>
      <c r="J20" s="25">
        <f t="shared" si="1"/>
        <v>34.430008779172908</v>
      </c>
      <c r="K20" s="25">
        <f t="shared" si="0"/>
        <v>55.624427188061901</v>
      </c>
      <c r="L20" s="5">
        <v>9</v>
      </c>
      <c r="M20" s="5">
        <v>6.5</v>
      </c>
      <c r="N20" s="5">
        <f t="shared" si="2"/>
        <v>0.83200000000000007</v>
      </c>
      <c r="O20" s="25">
        <f t="shared" si="3"/>
        <v>10.817307692307692</v>
      </c>
    </row>
    <row r="21" spans="1:15">
      <c r="A21" s="18">
        <v>19</v>
      </c>
      <c r="B21" s="19">
        <v>3</v>
      </c>
      <c r="C21" s="19" t="s">
        <v>35</v>
      </c>
      <c r="D21" s="18" t="s">
        <v>21</v>
      </c>
      <c r="E21" s="5">
        <v>11.36</v>
      </c>
      <c r="F21" s="5">
        <v>1.36</v>
      </c>
      <c r="G21" s="9">
        <v>32.590000000000003</v>
      </c>
      <c r="H21" s="5">
        <v>41.39</v>
      </c>
      <c r="I21" s="5">
        <v>20.28</v>
      </c>
      <c r="J21" s="25">
        <f t="shared" si="1"/>
        <v>26.1036260956839</v>
      </c>
      <c r="K21" s="25">
        <f t="shared" si="0"/>
        <v>46.091327817714259</v>
      </c>
      <c r="L21" s="5">
        <v>11.3</v>
      </c>
      <c r="M21" s="5">
        <v>7.5</v>
      </c>
      <c r="N21" s="5">
        <f t="shared" si="2"/>
        <v>0.96000000000000008</v>
      </c>
      <c r="O21" s="25">
        <f t="shared" si="3"/>
        <v>11.770833333333334</v>
      </c>
    </row>
    <row r="22" spans="1:15">
      <c r="A22" s="18">
        <v>20</v>
      </c>
      <c r="B22" s="19">
        <v>4</v>
      </c>
      <c r="C22" s="19" t="s">
        <v>35</v>
      </c>
      <c r="D22" s="18" t="s">
        <v>22</v>
      </c>
      <c r="E22" s="5">
        <v>9.3740000000000006</v>
      </c>
      <c r="F22" s="5">
        <v>1.32</v>
      </c>
      <c r="G22" s="9">
        <v>33.81</v>
      </c>
      <c r="H22" s="5">
        <v>39.81</v>
      </c>
      <c r="I22" s="5">
        <v>20</v>
      </c>
      <c r="J22" s="25">
        <f t="shared" si="1"/>
        <v>26.674328279142447</v>
      </c>
      <c r="K22" s="25">
        <f t="shared" si="0"/>
        <v>44.551499413599991</v>
      </c>
      <c r="L22" s="5">
        <v>10.3</v>
      </c>
      <c r="M22" s="5">
        <v>6.5</v>
      </c>
      <c r="N22" s="5">
        <f t="shared" si="2"/>
        <v>0.83200000000000007</v>
      </c>
      <c r="O22" s="25">
        <f t="shared" si="3"/>
        <v>12.379807692307692</v>
      </c>
    </row>
    <row r="23" spans="1:15">
      <c r="A23" s="18">
        <v>21</v>
      </c>
      <c r="B23" s="19">
        <v>5</v>
      </c>
      <c r="C23" s="19" t="s">
        <v>35</v>
      </c>
      <c r="D23" s="18" t="s">
        <v>23</v>
      </c>
      <c r="E23" s="5">
        <v>12.132000000000001</v>
      </c>
      <c r="F23" s="5">
        <v>1.5</v>
      </c>
      <c r="G23" s="9">
        <v>35.54</v>
      </c>
      <c r="H23" s="5">
        <v>37.89</v>
      </c>
      <c r="I23" s="5">
        <v>19.66</v>
      </c>
      <c r="J23" s="25">
        <f t="shared" si="1"/>
        <v>27.423463103786233</v>
      </c>
      <c r="K23" s="25">
        <f t="shared" si="0"/>
        <v>42.6868562909006</v>
      </c>
      <c r="L23" s="5">
        <v>11.2</v>
      </c>
      <c r="M23" s="5">
        <v>6.4</v>
      </c>
      <c r="N23" s="5">
        <f t="shared" si="2"/>
        <v>0.81920000000000015</v>
      </c>
      <c r="O23" s="25">
        <f t="shared" si="3"/>
        <v>13.671874999999996</v>
      </c>
    </row>
    <row r="24" spans="1:15">
      <c r="A24" s="18">
        <v>22</v>
      </c>
      <c r="B24" s="19">
        <v>6</v>
      </c>
      <c r="C24" s="19" t="s">
        <v>35</v>
      </c>
      <c r="D24" s="18" t="s">
        <v>24</v>
      </c>
      <c r="E24" s="5">
        <v>13.1</v>
      </c>
      <c r="F24" s="5">
        <v>1.3800000000000001</v>
      </c>
      <c r="G24" s="9">
        <v>31.36</v>
      </c>
      <c r="H24" s="5">
        <v>35.21</v>
      </c>
      <c r="I24" s="5">
        <v>20.48</v>
      </c>
      <c r="J24" s="25">
        <f t="shared" si="1"/>
        <v>30.184549162349235</v>
      </c>
      <c r="K24" s="25">
        <f t="shared" si="0"/>
        <v>40.732965764844572</v>
      </c>
      <c r="L24" s="5">
        <v>10.5</v>
      </c>
      <c r="M24" s="5">
        <v>7.6</v>
      </c>
      <c r="N24" s="5">
        <f t="shared" si="2"/>
        <v>0.97280000000000011</v>
      </c>
      <c r="O24" s="25">
        <f t="shared" si="3"/>
        <v>10.793585526315788</v>
      </c>
    </row>
    <row r="25" spans="1:15">
      <c r="A25" s="18">
        <v>23</v>
      </c>
      <c r="B25" s="19">
        <v>7</v>
      </c>
      <c r="C25" s="19" t="s">
        <v>35</v>
      </c>
      <c r="D25" s="18" t="s">
        <v>25</v>
      </c>
      <c r="E25" s="5">
        <v>12.569999999999999</v>
      </c>
      <c r="F25" s="5">
        <v>2.06</v>
      </c>
      <c r="G25" s="9" t="s">
        <v>36</v>
      </c>
      <c r="H25" s="5" t="s">
        <v>36</v>
      </c>
      <c r="I25" s="5" t="s">
        <v>36</v>
      </c>
      <c r="J25" s="25" t="s">
        <v>36</v>
      </c>
      <c r="K25" s="25" t="s">
        <v>36</v>
      </c>
      <c r="L25" s="5">
        <v>10.1</v>
      </c>
      <c r="M25" s="5">
        <v>6.8</v>
      </c>
      <c r="N25" s="5">
        <f t="shared" si="2"/>
        <v>0.87039999999999995</v>
      </c>
      <c r="O25" s="25">
        <f t="shared" si="3"/>
        <v>11.603860294117647</v>
      </c>
    </row>
    <row r="26" spans="1:15">
      <c r="A26" s="18">
        <v>24</v>
      </c>
      <c r="B26" s="19">
        <v>8</v>
      </c>
      <c r="C26" s="19" t="s">
        <v>35</v>
      </c>
      <c r="D26" s="18" t="s">
        <v>26</v>
      </c>
      <c r="E26" s="5">
        <v>9.984</v>
      </c>
      <c r="F26" s="5">
        <v>1.64</v>
      </c>
      <c r="G26" s="9">
        <v>35.67</v>
      </c>
      <c r="H26" s="5">
        <v>33.549999999999997</v>
      </c>
      <c r="I26" s="5">
        <v>24.62</v>
      </c>
      <c r="J26" s="25">
        <f t="shared" si="1"/>
        <v>36.272342451979959</v>
      </c>
      <c r="K26" s="25">
        <f t="shared" si="0"/>
        <v>41.614263179828136</v>
      </c>
      <c r="L26" s="5">
        <v>10</v>
      </c>
      <c r="M26" s="5">
        <v>6.3</v>
      </c>
      <c r="N26" s="5">
        <f t="shared" si="2"/>
        <v>0.80640000000000001</v>
      </c>
      <c r="O26" s="25">
        <f t="shared" si="3"/>
        <v>12.40079365079365</v>
      </c>
    </row>
    <row r="27" spans="1:15">
      <c r="A27" s="18">
        <v>25</v>
      </c>
      <c r="B27" s="19">
        <v>9</v>
      </c>
      <c r="C27" s="19" t="s">
        <v>35</v>
      </c>
      <c r="D27" s="18" t="s">
        <v>27</v>
      </c>
      <c r="E27" s="5">
        <v>6.7379999999999995</v>
      </c>
      <c r="F27" s="5">
        <v>1.8199999999999998</v>
      </c>
      <c r="G27" s="9">
        <v>39.340000000000003</v>
      </c>
      <c r="H27" s="5">
        <v>40.58</v>
      </c>
      <c r="I27" s="5">
        <v>28.13</v>
      </c>
      <c r="J27" s="25">
        <f t="shared" si="1"/>
        <v>34.729646509571531</v>
      </c>
      <c r="K27" s="25">
        <f t="shared" si="0"/>
        <v>49.376444788988195</v>
      </c>
      <c r="L27" s="5">
        <v>10.8</v>
      </c>
      <c r="M27" s="5">
        <v>6.6</v>
      </c>
      <c r="N27" s="5">
        <f t="shared" si="2"/>
        <v>0.84480000000000011</v>
      </c>
      <c r="O27" s="25">
        <f t="shared" si="3"/>
        <v>12.784090909090908</v>
      </c>
    </row>
    <row r="28" spans="1:15">
      <c r="A28" s="18">
        <v>26</v>
      </c>
      <c r="B28" s="19">
        <v>10</v>
      </c>
      <c r="C28" s="19" t="s">
        <v>35</v>
      </c>
      <c r="D28" s="18" t="s">
        <v>28</v>
      </c>
      <c r="E28" s="5">
        <v>11.36</v>
      </c>
      <c r="F28" s="5">
        <v>1.56</v>
      </c>
      <c r="G28" s="9">
        <v>29.36</v>
      </c>
      <c r="H28" s="5">
        <v>36.22</v>
      </c>
      <c r="I28" s="5">
        <v>14.84</v>
      </c>
      <c r="J28" s="25">
        <f t="shared" si="1"/>
        <v>22.279814593367444</v>
      </c>
      <c r="K28" s="25">
        <f t="shared" si="0"/>
        <v>39.142227836442828</v>
      </c>
      <c r="L28" s="5">
        <v>10.4</v>
      </c>
      <c r="M28" s="5">
        <v>6.7</v>
      </c>
      <c r="N28" s="5">
        <f t="shared" si="2"/>
        <v>0.85760000000000003</v>
      </c>
      <c r="O28" s="25">
        <f t="shared" si="3"/>
        <v>12.126865671641792</v>
      </c>
    </row>
    <row r="29" spans="1:15">
      <c r="A29" s="18">
        <v>27</v>
      </c>
      <c r="B29" s="19">
        <v>11</v>
      </c>
      <c r="C29" s="19" t="s">
        <v>35</v>
      </c>
      <c r="D29" s="18" t="s">
        <v>29</v>
      </c>
      <c r="E29" s="5">
        <v>8.8640000000000008</v>
      </c>
      <c r="F29" s="5">
        <v>1.6199999999999999</v>
      </c>
      <c r="G29" s="9">
        <v>32.19</v>
      </c>
      <c r="H29" s="5">
        <v>34.799999999999997</v>
      </c>
      <c r="I29" s="5">
        <v>18.36</v>
      </c>
      <c r="J29" s="25">
        <f t="shared" si="1"/>
        <v>27.815510817596447</v>
      </c>
      <c r="K29" s="25">
        <f t="shared" si="0"/>
        <v>39.346278095901269</v>
      </c>
      <c r="L29" s="5">
        <v>10.199999999999999</v>
      </c>
      <c r="M29" s="5">
        <v>6.9</v>
      </c>
      <c r="N29" s="5">
        <f t="shared" si="2"/>
        <v>0.8832000000000001</v>
      </c>
      <c r="O29" s="25">
        <f t="shared" si="3"/>
        <v>11.548913043478258</v>
      </c>
    </row>
    <row r="30" spans="1:15">
      <c r="A30" s="18">
        <v>28</v>
      </c>
      <c r="B30" s="19">
        <v>12</v>
      </c>
      <c r="C30" s="19" t="s">
        <v>35</v>
      </c>
      <c r="D30" s="18" t="s">
        <v>30</v>
      </c>
      <c r="E30" s="5">
        <v>11.097999999999999</v>
      </c>
      <c r="F30" s="5">
        <v>1.8</v>
      </c>
      <c r="G30" s="9">
        <v>38.99</v>
      </c>
      <c r="H30" s="5">
        <v>38.36</v>
      </c>
      <c r="I30" s="5">
        <v>28.12</v>
      </c>
      <c r="J30" s="25">
        <f t="shared" si="1"/>
        <v>36.243475900228333</v>
      </c>
      <c r="K30" s="25">
        <f t="shared" si="0"/>
        <v>47.562842640027313</v>
      </c>
      <c r="L30" s="5">
        <v>11.6</v>
      </c>
      <c r="M30" s="5">
        <v>7.4</v>
      </c>
      <c r="N30" s="5">
        <f t="shared" si="2"/>
        <v>0.94720000000000015</v>
      </c>
      <c r="O30" s="25">
        <f t="shared" si="3"/>
        <v>12.246621621621619</v>
      </c>
    </row>
    <row r="31" spans="1:15">
      <c r="A31" s="18">
        <v>29</v>
      </c>
      <c r="B31" s="19">
        <v>13</v>
      </c>
      <c r="C31" s="19" t="s">
        <v>35</v>
      </c>
      <c r="D31" s="18" t="s">
        <v>31</v>
      </c>
      <c r="E31" s="5">
        <v>12.898</v>
      </c>
      <c r="F31" s="5">
        <v>1.8</v>
      </c>
      <c r="G31" s="9">
        <v>33.090000000000003</v>
      </c>
      <c r="H31" s="5">
        <v>34.71</v>
      </c>
      <c r="I31" s="5">
        <v>19.329999999999998</v>
      </c>
      <c r="J31" s="25">
        <f t="shared" si="1"/>
        <v>29.113435066558257</v>
      </c>
      <c r="K31" s="25">
        <f t="shared" si="0"/>
        <v>39.72949785738551</v>
      </c>
      <c r="L31" s="5">
        <v>11</v>
      </c>
      <c r="M31" s="5">
        <v>6.4</v>
      </c>
      <c r="N31" s="5">
        <f t="shared" si="2"/>
        <v>0.81920000000000015</v>
      </c>
      <c r="O31" s="25">
        <f t="shared" si="3"/>
        <v>13.427734374999998</v>
      </c>
    </row>
    <row r="32" spans="1:15">
      <c r="A32" s="18">
        <v>30</v>
      </c>
      <c r="B32" s="19">
        <v>14</v>
      </c>
      <c r="C32" s="19" t="s">
        <v>35</v>
      </c>
      <c r="D32" s="18" t="s">
        <v>32</v>
      </c>
      <c r="E32" s="5">
        <v>9.3460000000000001</v>
      </c>
      <c r="F32" s="5">
        <v>1.7400000000000002</v>
      </c>
      <c r="G32" s="9">
        <v>32.85</v>
      </c>
      <c r="H32" s="5">
        <v>42.95</v>
      </c>
      <c r="I32" s="5">
        <v>21.33</v>
      </c>
      <c r="J32" s="25">
        <f t="shared" si="1"/>
        <v>26.410097008012205</v>
      </c>
      <c r="K32" s="25">
        <f t="shared" si="0"/>
        <v>47.954889218931577</v>
      </c>
      <c r="L32" s="5">
        <v>10.5</v>
      </c>
      <c r="M32" s="5">
        <v>6</v>
      </c>
      <c r="N32" s="5">
        <f t="shared" si="2"/>
        <v>0.76800000000000013</v>
      </c>
      <c r="O32" s="25">
        <f t="shared" si="3"/>
        <v>13.671874999999998</v>
      </c>
    </row>
    <row r="33" spans="1:15">
      <c r="A33" s="18">
        <v>31</v>
      </c>
      <c r="B33" s="19">
        <v>15</v>
      </c>
      <c r="C33" s="19" t="s">
        <v>35</v>
      </c>
      <c r="D33" s="18" t="s">
        <v>33</v>
      </c>
      <c r="E33" s="5">
        <v>8.6180000000000003</v>
      </c>
      <c r="F33" s="5">
        <v>1.44</v>
      </c>
      <c r="G33" s="9">
        <v>35.229999999999997</v>
      </c>
      <c r="H33" s="5">
        <v>41.31</v>
      </c>
      <c r="I33" s="5">
        <v>22.41</v>
      </c>
      <c r="J33" s="25">
        <f t="shared" si="1"/>
        <v>28.479107810996485</v>
      </c>
      <c r="K33" s="25">
        <f t="shared" si="0"/>
        <v>46.997065865860179</v>
      </c>
      <c r="L33" s="5">
        <v>10.4</v>
      </c>
      <c r="M33" s="5">
        <v>5.5</v>
      </c>
      <c r="N33" s="5">
        <f t="shared" si="2"/>
        <v>0.70400000000000007</v>
      </c>
      <c r="O33" s="25">
        <f t="shared" si="3"/>
        <v>14.772727272727272</v>
      </c>
    </row>
    <row r="34" spans="1:15">
      <c r="A34" s="18">
        <v>32</v>
      </c>
      <c r="B34" s="19">
        <v>16</v>
      </c>
      <c r="C34" s="19" t="s">
        <v>35</v>
      </c>
      <c r="D34" s="18" t="s">
        <v>34</v>
      </c>
      <c r="E34" s="5">
        <v>9.5739999999999998</v>
      </c>
      <c r="F34" s="5">
        <v>1.24</v>
      </c>
      <c r="G34" s="9">
        <v>33.76</v>
      </c>
      <c r="H34" s="5">
        <v>41.26</v>
      </c>
      <c r="I34" s="5">
        <v>23.43</v>
      </c>
      <c r="J34" s="25">
        <f t="shared" si="1"/>
        <v>29.590611128368952</v>
      </c>
      <c r="K34" s="25">
        <f t="shared" si="0"/>
        <v>47.448419362503529</v>
      </c>
      <c r="L34" s="5">
        <v>10.7</v>
      </c>
      <c r="M34" s="5">
        <v>6.3</v>
      </c>
      <c r="N34" s="5">
        <f t="shared" si="2"/>
        <v>0.80640000000000001</v>
      </c>
      <c r="O34" s="25">
        <f t="shared" si="3"/>
        <v>13.268849206349206</v>
      </c>
    </row>
  </sheetData>
  <mergeCells count="13">
    <mergeCell ref="O1:O2"/>
    <mergeCell ref="J1:J2"/>
    <mergeCell ref="K1:K2"/>
    <mergeCell ref="L1:L2"/>
    <mergeCell ref="A1:A2"/>
    <mergeCell ref="B1:B2"/>
    <mergeCell ref="C1:C2"/>
    <mergeCell ref="D1:D2"/>
    <mergeCell ref="F1:F2"/>
    <mergeCell ref="E1:E2"/>
    <mergeCell ref="I1:I2"/>
    <mergeCell ref="H1:H2"/>
    <mergeCell ref="G1:G2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9C67DF-890F-45CF-8AF2-B3DB69B26F8A}">
  <dimension ref="A1:E66"/>
  <sheetViews>
    <sheetView workbookViewId="0">
      <selection activeCell="E3" sqref="E3:E66"/>
    </sheetView>
  </sheetViews>
  <sheetFormatPr defaultColWidth="11.42578125" defaultRowHeight="15"/>
  <cols>
    <col min="5" max="5" width="20.85546875" customWidth="1"/>
  </cols>
  <sheetData>
    <row r="1" spans="1:5">
      <c r="A1" s="43" t="s">
        <v>0</v>
      </c>
      <c r="B1" s="40" t="s">
        <v>1</v>
      </c>
      <c r="C1" s="40" t="s">
        <v>2</v>
      </c>
      <c r="D1" s="40" t="s">
        <v>3</v>
      </c>
      <c r="E1" s="42" t="s">
        <v>49</v>
      </c>
    </row>
    <row r="2" spans="1:5">
      <c r="A2" s="44"/>
      <c r="B2" s="41"/>
      <c r="C2" s="41"/>
      <c r="D2" s="41"/>
      <c r="E2" s="42"/>
    </row>
    <row r="3" spans="1:5">
      <c r="A3" s="5">
        <v>1</v>
      </c>
      <c r="B3" s="6">
        <v>1</v>
      </c>
      <c r="C3" s="6" t="s">
        <v>14</v>
      </c>
      <c r="D3" s="6" t="s">
        <v>15</v>
      </c>
      <c r="E3" s="28">
        <v>0.41399999999999998</v>
      </c>
    </row>
    <row r="4" spans="1:5">
      <c r="A4" s="5">
        <v>2</v>
      </c>
      <c r="B4" s="6">
        <v>1</v>
      </c>
      <c r="C4" s="6" t="s">
        <v>14</v>
      </c>
      <c r="D4" s="6" t="s">
        <v>15</v>
      </c>
      <c r="E4" s="28">
        <v>0.38100000000000001</v>
      </c>
    </row>
    <row r="5" spans="1:5">
      <c r="A5" s="5">
        <v>3</v>
      </c>
      <c r="B5" s="19">
        <v>2</v>
      </c>
      <c r="C5" s="19" t="s">
        <v>14</v>
      </c>
      <c r="D5" s="18" t="s">
        <v>20</v>
      </c>
      <c r="E5" s="5">
        <v>0.41399999999999998</v>
      </c>
    </row>
    <row r="6" spans="1:5">
      <c r="A6" s="5">
        <v>4</v>
      </c>
      <c r="B6" s="19">
        <v>2</v>
      </c>
      <c r="C6" s="19" t="s">
        <v>14</v>
      </c>
      <c r="D6" s="18" t="s">
        <v>20</v>
      </c>
      <c r="E6" s="5">
        <v>0.39200000000000002</v>
      </c>
    </row>
    <row r="7" spans="1:5">
      <c r="A7" s="5">
        <v>5</v>
      </c>
      <c r="B7" s="19">
        <v>3</v>
      </c>
      <c r="C7" s="19" t="s">
        <v>14</v>
      </c>
      <c r="D7" s="18" t="s">
        <v>21</v>
      </c>
      <c r="E7" s="5">
        <v>0.40200000000000002</v>
      </c>
    </row>
    <row r="8" spans="1:5">
      <c r="A8" s="5">
        <v>6</v>
      </c>
      <c r="B8" s="19">
        <v>3</v>
      </c>
      <c r="C8" s="19" t="s">
        <v>14</v>
      </c>
      <c r="D8" s="18" t="s">
        <v>21</v>
      </c>
      <c r="E8" s="5">
        <v>0.41799999999999998</v>
      </c>
    </row>
    <row r="9" spans="1:5">
      <c r="A9" s="5">
        <v>7</v>
      </c>
      <c r="B9" s="19">
        <v>4</v>
      </c>
      <c r="C9" s="19" t="s">
        <v>14</v>
      </c>
      <c r="D9" s="18" t="s">
        <v>22</v>
      </c>
      <c r="E9" s="5">
        <v>0.40500000000000003</v>
      </c>
    </row>
    <row r="10" spans="1:5">
      <c r="A10" s="5">
        <v>8</v>
      </c>
      <c r="B10" s="19">
        <v>4</v>
      </c>
      <c r="C10" s="19" t="s">
        <v>14</v>
      </c>
      <c r="D10" s="18" t="s">
        <v>22</v>
      </c>
      <c r="E10" s="5">
        <v>0.39900000000000002</v>
      </c>
    </row>
    <row r="11" spans="1:5">
      <c r="A11" s="5">
        <v>9</v>
      </c>
      <c r="B11" s="19">
        <v>5</v>
      </c>
      <c r="C11" s="19" t="s">
        <v>14</v>
      </c>
      <c r="D11" s="18" t="s">
        <v>23</v>
      </c>
      <c r="E11" s="5">
        <v>0.41</v>
      </c>
    </row>
    <row r="12" spans="1:5">
      <c r="A12" s="5">
        <v>10</v>
      </c>
      <c r="B12" s="19">
        <v>5</v>
      </c>
      <c r="C12" s="19" t="s">
        <v>14</v>
      </c>
      <c r="D12" s="18" t="s">
        <v>23</v>
      </c>
      <c r="E12" s="5">
        <v>0.39800000000000002</v>
      </c>
    </row>
    <row r="13" spans="1:5">
      <c r="A13" s="5">
        <v>11</v>
      </c>
      <c r="B13" s="19">
        <v>6</v>
      </c>
      <c r="C13" s="19" t="s">
        <v>14</v>
      </c>
      <c r="D13" s="18" t="s">
        <v>24</v>
      </c>
      <c r="E13" s="5">
        <v>0.41</v>
      </c>
    </row>
    <row r="14" spans="1:5">
      <c r="A14" s="5">
        <v>12</v>
      </c>
      <c r="B14" s="19">
        <v>6</v>
      </c>
      <c r="C14" s="19" t="s">
        <v>14</v>
      </c>
      <c r="D14" s="18" t="s">
        <v>24</v>
      </c>
      <c r="E14" s="5">
        <v>0.41099999999999998</v>
      </c>
    </row>
    <row r="15" spans="1:5">
      <c r="A15" s="5">
        <v>13</v>
      </c>
      <c r="B15" s="19">
        <v>7</v>
      </c>
      <c r="C15" s="19" t="s">
        <v>14</v>
      </c>
      <c r="D15" s="18" t="s">
        <v>25</v>
      </c>
      <c r="E15" s="5">
        <v>0.39100000000000001</v>
      </c>
    </row>
    <row r="16" spans="1:5">
      <c r="A16" s="5">
        <v>14</v>
      </c>
      <c r="B16" s="19">
        <v>7</v>
      </c>
      <c r="C16" s="19" t="s">
        <v>14</v>
      </c>
      <c r="D16" s="18" t="s">
        <v>25</v>
      </c>
      <c r="E16" s="5">
        <v>0.41399999999999998</v>
      </c>
    </row>
    <row r="17" spans="1:5">
      <c r="A17" s="5">
        <v>15</v>
      </c>
      <c r="B17" s="19">
        <v>8</v>
      </c>
      <c r="C17" s="19" t="s">
        <v>14</v>
      </c>
      <c r="D17" s="18" t="s">
        <v>26</v>
      </c>
      <c r="E17" s="5">
        <v>0.39400000000000002</v>
      </c>
    </row>
    <row r="18" spans="1:5">
      <c r="A18" s="5">
        <v>16</v>
      </c>
      <c r="B18" s="19">
        <v>8</v>
      </c>
      <c r="C18" s="19" t="s">
        <v>14</v>
      </c>
      <c r="D18" s="18" t="s">
        <v>26</v>
      </c>
      <c r="E18" s="5">
        <v>0.38800000000000001</v>
      </c>
    </row>
    <row r="19" spans="1:5">
      <c r="A19" s="5">
        <v>17</v>
      </c>
      <c r="B19" s="19">
        <v>9</v>
      </c>
      <c r="C19" s="19" t="s">
        <v>14</v>
      </c>
      <c r="D19" s="18" t="s">
        <v>27</v>
      </c>
      <c r="E19" s="5">
        <v>0.41199999999999998</v>
      </c>
    </row>
    <row r="20" spans="1:5">
      <c r="A20" s="5">
        <v>18</v>
      </c>
      <c r="B20" s="19">
        <v>9</v>
      </c>
      <c r="C20" s="19" t="s">
        <v>14</v>
      </c>
      <c r="D20" s="18" t="s">
        <v>27</v>
      </c>
      <c r="E20" s="5">
        <v>0.39800000000000002</v>
      </c>
    </row>
    <row r="21" spans="1:5">
      <c r="A21" s="5">
        <v>19</v>
      </c>
      <c r="B21" s="19">
        <v>10</v>
      </c>
      <c r="C21" s="19" t="s">
        <v>14</v>
      </c>
      <c r="D21" s="18" t="s">
        <v>28</v>
      </c>
      <c r="E21" s="5">
        <v>0.375</v>
      </c>
    </row>
    <row r="22" spans="1:5">
      <c r="A22" s="5">
        <v>20</v>
      </c>
      <c r="B22" s="19">
        <v>10</v>
      </c>
      <c r="C22" s="19" t="s">
        <v>14</v>
      </c>
      <c r="D22" s="18" t="s">
        <v>28</v>
      </c>
      <c r="E22" s="5">
        <v>0.38300000000000001</v>
      </c>
    </row>
    <row r="23" spans="1:5">
      <c r="A23" s="5">
        <v>21</v>
      </c>
      <c r="B23" s="19">
        <v>11</v>
      </c>
      <c r="C23" s="19" t="s">
        <v>14</v>
      </c>
      <c r="D23" s="18" t="s">
        <v>29</v>
      </c>
      <c r="E23" s="5">
        <v>0.41699999999999998</v>
      </c>
    </row>
    <row r="24" spans="1:5">
      <c r="A24" s="5">
        <v>22</v>
      </c>
      <c r="B24" s="19">
        <v>11</v>
      </c>
      <c r="C24" s="19" t="s">
        <v>14</v>
      </c>
      <c r="D24" s="18" t="s">
        <v>29</v>
      </c>
      <c r="E24" s="5">
        <v>0.39500000000000002</v>
      </c>
    </row>
    <row r="25" spans="1:5">
      <c r="A25" s="5">
        <v>23</v>
      </c>
      <c r="B25" s="19">
        <v>12</v>
      </c>
      <c r="C25" s="19" t="s">
        <v>14</v>
      </c>
      <c r="D25" s="18" t="s">
        <v>30</v>
      </c>
      <c r="E25" s="5">
        <v>0.39200000000000002</v>
      </c>
    </row>
    <row r="26" spans="1:5">
      <c r="A26" s="5">
        <v>24</v>
      </c>
      <c r="B26" s="19">
        <v>12</v>
      </c>
      <c r="C26" s="19" t="s">
        <v>14</v>
      </c>
      <c r="D26" s="18" t="s">
        <v>30</v>
      </c>
      <c r="E26" s="5">
        <v>0.40300000000000002</v>
      </c>
    </row>
    <row r="27" spans="1:5">
      <c r="A27" s="5">
        <v>25</v>
      </c>
      <c r="B27" s="19">
        <v>13</v>
      </c>
      <c r="C27" s="19" t="s">
        <v>14</v>
      </c>
      <c r="D27" s="18" t="s">
        <v>31</v>
      </c>
      <c r="E27" s="5">
        <v>0.40200000000000002</v>
      </c>
    </row>
    <row r="28" spans="1:5">
      <c r="A28" s="5">
        <v>26</v>
      </c>
      <c r="B28" s="19">
        <v>13</v>
      </c>
      <c r="C28" s="19" t="s">
        <v>14</v>
      </c>
      <c r="D28" s="18" t="s">
        <v>31</v>
      </c>
      <c r="E28" s="5">
        <v>0.40799999999999997</v>
      </c>
    </row>
    <row r="29" spans="1:5">
      <c r="A29" s="5">
        <v>27</v>
      </c>
      <c r="B29" s="19">
        <v>14</v>
      </c>
      <c r="C29" s="19" t="s">
        <v>14</v>
      </c>
      <c r="D29" s="18" t="s">
        <v>32</v>
      </c>
      <c r="E29" s="5">
        <v>0.39200000000000002</v>
      </c>
    </row>
    <row r="30" spans="1:5">
      <c r="A30" s="5">
        <v>28</v>
      </c>
      <c r="B30" s="19">
        <v>14</v>
      </c>
      <c r="C30" s="19" t="s">
        <v>14</v>
      </c>
      <c r="D30" s="18" t="s">
        <v>32</v>
      </c>
      <c r="E30" s="5">
        <v>0.39700000000000002</v>
      </c>
    </row>
    <row r="31" spans="1:5">
      <c r="A31" s="5">
        <v>29</v>
      </c>
      <c r="B31" s="19">
        <v>15</v>
      </c>
      <c r="C31" s="19" t="s">
        <v>14</v>
      </c>
      <c r="D31" s="18" t="s">
        <v>33</v>
      </c>
      <c r="E31" s="5">
        <v>0.38400000000000001</v>
      </c>
    </row>
    <row r="32" spans="1:5">
      <c r="A32" s="5">
        <v>30</v>
      </c>
      <c r="B32" s="19">
        <v>15</v>
      </c>
      <c r="C32" s="19" t="s">
        <v>14</v>
      </c>
      <c r="D32" s="18" t="s">
        <v>33</v>
      </c>
      <c r="E32" s="5">
        <v>0.38800000000000001</v>
      </c>
    </row>
    <row r="33" spans="1:5">
      <c r="A33" s="5">
        <v>31</v>
      </c>
      <c r="B33" s="19">
        <v>16</v>
      </c>
      <c r="C33" s="19" t="s">
        <v>14</v>
      </c>
      <c r="D33" s="18" t="s">
        <v>34</v>
      </c>
      <c r="E33" s="5">
        <v>0.39800000000000002</v>
      </c>
    </row>
    <row r="34" spans="1:5">
      <c r="A34" s="5">
        <v>32</v>
      </c>
      <c r="B34" s="19">
        <v>16</v>
      </c>
      <c r="C34" s="19" t="s">
        <v>14</v>
      </c>
      <c r="D34" s="18" t="s">
        <v>34</v>
      </c>
      <c r="E34" s="5">
        <v>0.39400000000000002</v>
      </c>
    </row>
    <row r="35" spans="1:5">
      <c r="A35" s="5">
        <v>33</v>
      </c>
      <c r="B35" s="6">
        <v>1</v>
      </c>
      <c r="C35" s="6" t="s">
        <v>35</v>
      </c>
      <c r="D35" s="6" t="s">
        <v>15</v>
      </c>
      <c r="E35" s="5">
        <v>0.40400000000000003</v>
      </c>
    </row>
    <row r="36" spans="1:5">
      <c r="A36" s="5">
        <v>34</v>
      </c>
      <c r="B36" s="6">
        <v>1</v>
      </c>
      <c r="C36" s="6" t="s">
        <v>35</v>
      </c>
      <c r="D36" s="6" t="s">
        <v>15</v>
      </c>
      <c r="E36" s="5">
        <v>0.40300000000000002</v>
      </c>
    </row>
    <row r="37" spans="1:5">
      <c r="A37" s="5">
        <v>35</v>
      </c>
      <c r="B37" s="19">
        <v>2</v>
      </c>
      <c r="C37" s="6" t="s">
        <v>35</v>
      </c>
      <c r="D37" s="18" t="s">
        <v>20</v>
      </c>
      <c r="E37" s="5">
        <v>0.40500000000000003</v>
      </c>
    </row>
    <row r="38" spans="1:5">
      <c r="A38" s="5">
        <v>36</v>
      </c>
      <c r="B38" s="19">
        <v>2</v>
      </c>
      <c r="C38" s="6" t="s">
        <v>35</v>
      </c>
      <c r="D38" s="18" t="s">
        <v>20</v>
      </c>
      <c r="E38" s="5">
        <v>0.39400000000000002</v>
      </c>
    </row>
    <row r="39" spans="1:5">
      <c r="A39" s="5">
        <v>37</v>
      </c>
      <c r="B39" s="19">
        <v>3</v>
      </c>
      <c r="C39" s="6" t="s">
        <v>35</v>
      </c>
      <c r="D39" s="18" t="s">
        <v>21</v>
      </c>
      <c r="E39" s="5">
        <v>0.39400000000000002</v>
      </c>
    </row>
    <row r="40" spans="1:5">
      <c r="A40" s="5">
        <v>38</v>
      </c>
      <c r="B40" s="19">
        <v>3</v>
      </c>
      <c r="C40" s="6" t="s">
        <v>35</v>
      </c>
      <c r="D40" s="18" t="s">
        <v>21</v>
      </c>
      <c r="E40" s="5">
        <v>0.39400000000000002</v>
      </c>
    </row>
    <row r="41" spans="1:5">
      <c r="A41" s="5">
        <v>39</v>
      </c>
      <c r="B41" s="19">
        <v>4</v>
      </c>
      <c r="C41" s="6" t="s">
        <v>35</v>
      </c>
      <c r="D41" s="18" t="s">
        <v>22</v>
      </c>
      <c r="E41" s="5">
        <v>0.39300000000000002</v>
      </c>
    </row>
    <row r="42" spans="1:5">
      <c r="A42" s="5">
        <v>40</v>
      </c>
      <c r="B42" s="19">
        <v>4</v>
      </c>
      <c r="C42" s="6" t="s">
        <v>35</v>
      </c>
      <c r="D42" s="18" t="s">
        <v>22</v>
      </c>
      <c r="E42" s="5">
        <v>0.4</v>
      </c>
    </row>
    <row r="43" spans="1:5">
      <c r="A43" s="5">
        <v>41</v>
      </c>
      <c r="B43" s="19">
        <v>5</v>
      </c>
      <c r="C43" s="6" t="s">
        <v>35</v>
      </c>
      <c r="D43" s="18" t="s">
        <v>23</v>
      </c>
      <c r="E43" s="5">
        <v>0.39500000000000002</v>
      </c>
    </row>
    <row r="44" spans="1:5">
      <c r="A44" s="5">
        <v>42</v>
      </c>
      <c r="B44" s="19">
        <v>5</v>
      </c>
      <c r="C44" s="6" t="s">
        <v>35</v>
      </c>
      <c r="D44" s="18" t="s">
        <v>23</v>
      </c>
      <c r="E44" s="5">
        <v>0.39700000000000002</v>
      </c>
    </row>
    <row r="45" spans="1:5">
      <c r="A45" s="5">
        <v>43</v>
      </c>
      <c r="B45" s="19">
        <v>6</v>
      </c>
      <c r="C45" s="6" t="s">
        <v>35</v>
      </c>
      <c r="D45" s="18" t="s">
        <v>24</v>
      </c>
      <c r="E45" s="5">
        <v>0.41499999999999998</v>
      </c>
    </row>
    <row r="46" spans="1:5">
      <c r="A46" s="5">
        <v>44</v>
      </c>
      <c r="B46" s="19">
        <v>6</v>
      </c>
      <c r="C46" s="6" t="s">
        <v>35</v>
      </c>
      <c r="D46" s="18" t="s">
        <v>24</v>
      </c>
      <c r="E46" s="5">
        <v>0.4</v>
      </c>
    </row>
    <row r="47" spans="1:5">
      <c r="A47" s="5">
        <v>45</v>
      </c>
      <c r="B47" s="19">
        <v>7</v>
      </c>
      <c r="C47" s="6" t="s">
        <v>35</v>
      </c>
      <c r="D47" s="18" t="s">
        <v>25</v>
      </c>
      <c r="E47" s="5">
        <v>0.39900000000000002</v>
      </c>
    </row>
    <row r="48" spans="1:5">
      <c r="A48" s="5">
        <v>46</v>
      </c>
      <c r="B48" s="19">
        <v>7</v>
      </c>
      <c r="C48" s="6" t="s">
        <v>35</v>
      </c>
      <c r="D48" s="18" t="s">
        <v>25</v>
      </c>
      <c r="E48" s="5">
        <v>0.39200000000000002</v>
      </c>
    </row>
    <row r="49" spans="1:5">
      <c r="A49" s="5">
        <v>47</v>
      </c>
      <c r="B49" s="19">
        <v>8</v>
      </c>
      <c r="C49" s="6" t="s">
        <v>35</v>
      </c>
      <c r="D49" s="18" t="s">
        <v>26</v>
      </c>
      <c r="E49" s="5">
        <v>0.4</v>
      </c>
    </row>
    <row r="50" spans="1:5">
      <c r="A50" s="5">
        <v>48</v>
      </c>
      <c r="B50" s="19">
        <v>8</v>
      </c>
      <c r="C50" s="6" t="s">
        <v>35</v>
      </c>
      <c r="D50" s="18" t="s">
        <v>26</v>
      </c>
      <c r="E50" s="5">
        <v>0.40400000000000003</v>
      </c>
    </row>
    <row r="51" spans="1:5">
      <c r="A51" s="5">
        <v>49</v>
      </c>
      <c r="B51" s="19">
        <v>9</v>
      </c>
      <c r="C51" s="6" t="s">
        <v>35</v>
      </c>
      <c r="D51" s="18" t="s">
        <v>27</v>
      </c>
      <c r="E51" s="5">
        <v>0.39600000000000002</v>
      </c>
    </row>
    <row r="52" spans="1:5">
      <c r="A52" s="5">
        <v>50</v>
      </c>
      <c r="B52" s="19">
        <v>9</v>
      </c>
      <c r="C52" s="6" t="s">
        <v>35</v>
      </c>
      <c r="D52" s="18" t="s">
        <v>27</v>
      </c>
      <c r="E52" s="5">
        <v>0.39800000000000002</v>
      </c>
    </row>
    <row r="53" spans="1:5">
      <c r="A53" s="5">
        <v>51</v>
      </c>
      <c r="B53" s="19">
        <v>10</v>
      </c>
      <c r="C53" s="6" t="s">
        <v>35</v>
      </c>
      <c r="D53" s="18" t="s">
        <v>28</v>
      </c>
      <c r="E53" s="5">
        <v>0.40400000000000003</v>
      </c>
    </row>
    <row r="54" spans="1:5">
      <c r="A54" s="5">
        <v>52</v>
      </c>
      <c r="B54" s="19">
        <v>10</v>
      </c>
      <c r="C54" s="6" t="s">
        <v>35</v>
      </c>
      <c r="D54" s="18" t="s">
        <v>28</v>
      </c>
      <c r="E54" s="5">
        <v>0.40500000000000003</v>
      </c>
    </row>
    <row r="55" spans="1:5">
      <c r="A55" s="5">
        <v>53</v>
      </c>
      <c r="B55" s="19">
        <v>11</v>
      </c>
      <c r="C55" s="6" t="s">
        <v>35</v>
      </c>
      <c r="D55" s="18" t="s">
        <v>29</v>
      </c>
      <c r="E55" s="5">
        <v>0.40300000000000002</v>
      </c>
    </row>
    <row r="56" spans="1:5">
      <c r="A56" s="5">
        <v>54</v>
      </c>
      <c r="B56" s="19">
        <v>11</v>
      </c>
      <c r="C56" s="6" t="s">
        <v>35</v>
      </c>
      <c r="D56" s="18" t="s">
        <v>29</v>
      </c>
      <c r="E56" s="5">
        <v>0.40699999999999997</v>
      </c>
    </row>
    <row r="57" spans="1:5">
      <c r="A57" s="5">
        <v>55</v>
      </c>
      <c r="B57" s="19">
        <v>12</v>
      </c>
      <c r="C57" s="6" t="s">
        <v>35</v>
      </c>
      <c r="D57" s="18" t="s">
        <v>30</v>
      </c>
      <c r="E57" s="5">
        <v>0.38</v>
      </c>
    </row>
    <row r="58" spans="1:5">
      <c r="A58" s="5">
        <v>56</v>
      </c>
      <c r="B58" s="19">
        <v>12</v>
      </c>
      <c r="C58" s="6" t="s">
        <v>35</v>
      </c>
      <c r="D58" s="18" t="s">
        <v>30</v>
      </c>
      <c r="E58" s="5">
        <v>0.39800000000000002</v>
      </c>
    </row>
    <row r="59" spans="1:5">
      <c r="A59" s="5">
        <v>57</v>
      </c>
      <c r="B59" s="19">
        <v>13</v>
      </c>
      <c r="C59" s="6" t="s">
        <v>35</v>
      </c>
      <c r="D59" s="18" t="s">
        <v>31</v>
      </c>
      <c r="E59" s="5">
        <v>0.40500000000000003</v>
      </c>
    </row>
    <row r="60" spans="1:5">
      <c r="A60" s="5">
        <v>58</v>
      </c>
      <c r="B60" s="19">
        <v>13</v>
      </c>
      <c r="C60" s="6" t="s">
        <v>35</v>
      </c>
      <c r="D60" s="18" t="s">
        <v>31</v>
      </c>
      <c r="E60" s="5">
        <v>0.39600000000000002</v>
      </c>
    </row>
    <row r="61" spans="1:5">
      <c r="A61" s="5">
        <v>59</v>
      </c>
      <c r="B61" s="19">
        <v>14</v>
      </c>
      <c r="C61" s="6" t="s">
        <v>35</v>
      </c>
      <c r="D61" s="18" t="s">
        <v>32</v>
      </c>
      <c r="E61" s="5">
        <v>0.40100000000000002</v>
      </c>
    </row>
    <row r="62" spans="1:5">
      <c r="A62" s="5">
        <v>60</v>
      </c>
      <c r="B62" s="19">
        <v>14</v>
      </c>
      <c r="C62" s="6" t="s">
        <v>35</v>
      </c>
      <c r="D62" s="18" t="s">
        <v>32</v>
      </c>
      <c r="E62" s="5">
        <v>0.40899999999999997</v>
      </c>
    </row>
    <row r="63" spans="1:5">
      <c r="A63" s="5">
        <v>61</v>
      </c>
      <c r="B63" s="19">
        <v>15</v>
      </c>
      <c r="C63" s="6" t="s">
        <v>35</v>
      </c>
      <c r="D63" s="18" t="s">
        <v>33</v>
      </c>
      <c r="E63" s="5">
        <v>0.4</v>
      </c>
    </row>
    <row r="64" spans="1:5">
      <c r="A64" s="5">
        <v>62</v>
      </c>
      <c r="B64" s="19">
        <v>15</v>
      </c>
      <c r="C64" s="6" t="s">
        <v>35</v>
      </c>
      <c r="D64" s="18" t="s">
        <v>33</v>
      </c>
      <c r="E64" s="5">
        <v>0.40500000000000003</v>
      </c>
    </row>
    <row r="65" spans="1:5">
      <c r="A65" s="5">
        <v>63</v>
      </c>
      <c r="B65" s="19">
        <v>16</v>
      </c>
      <c r="C65" s="6" t="s">
        <v>35</v>
      </c>
      <c r="D65" s="18" t="s">
        <v>34</v>
      </c>
      <c r="E65" s="5">
        <v>0.40699999999999997</v>
      </c>
    </row>
    <row r="66" spans="1:5">
      <c r="A66" s="5">
        <v>64</v>
      </c>
      <c r="B66" s="19">
        <v>16</v>
      </c>
      <c r="C66" s="6" t="s">
        <v>35</v>
      </c>
      <c r="D66" s="18" t="s">
        <v>34</v>
      </c>
      <c r="E66" s="5">
        <v>0.40400000000000003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8A9E65-751C-49DB-BB15-0C76781DC897}">
  <dimension ref="A1:E98"/>
  <sheetViews>
    <sheetView topLeftCell="A80" workbookViewId="0">
      <selection activeCell="E3" sqref="E3:E98"/>
    </sheetView>
  </sheetViews>
  <sheetFormatPr defaultColWidth="11.42578125" defaultRowHeight="15"/>
  <cols>
    <col min="5" max="5" width="20.85546875" customWidth="1"/>
  </cols>
  <sheetData>
    <row r="1" spans="1:5">
      <c r="A1" s="43" t="s">
        <v>0</v>
      </c>
      <c r="B1" s="40" t="s">
        <v>1</v>
      </c>
      <c r="C1" s="40" t="s">
        <v>2</v>
      </c>
      <c r="D1" s="40" t="s">
        <v>3</v>
      </c>
      <c r="E1" s="42" t="s">
        <v>50</v>
      </c>
    </row>
    <row r="2" spans="1:5">
      <c r="A2" s="44"/>
      <c r="B2" s="41"/>
      <c r="C2" s="41"/>
      <c r="D2" s="41"/>
      <c r="E2" s="42"/>
    </row>
    <row r="3" spans="1:5">
      <c r="A3" s="5">
        <v>1</v>
      </c>
      <c r="B3" s="6">
        <v>1</v>
      </c>
      <c r="C3" s="6" t="s">
        <v>14</v>
      </c>
      <c r="D3" s="6" t="s">
        <v>15</v>
      </c>
      <c r="E3" s="28">
        <v>9.8400000000000001E-2</v>
      </c>
    </row>
    <row r="4" spans="1:5">
      <c r="A4" s="5">
        <v>2</v>
      </c>
      <c r="B4" s="6">
        <v>1</v>
      </c>
      <c r="C4" s="6" t="s">
        <v>14</v>
      </c>
      <c r="D4" s="6" t="s">
        <v>15</v>
      </c>
      <c r="E4" s="28">
        <v>9.4700000000000006E-2</v>
      </c>
    </row>
    <row r="5" spans="1:5">
      <c r="A5" s="5">
        <v>3</v>
      </c>
      <c r="B5" s="6">
        <v>1</v>
      </c>
      <c r="C5" s="6" t="s">
        <v>14</v>
      </c>
      <c r="D5" s="6" t="s">
        <v>15</v>
      </c>
      <c r="E5" s="28">
        <v>9.9199999999999997E-2</v>
      </c>
    </row>
    <row r="6" spans="1:5">
      <c r="A6" s="5">
        <v>4</v>
      </c>
      <c r="B6" s="19">
        <v>2</v>
      </c>
      <c r="C6" s="19" t="s">
        <v>14</v>
      </c>
      <c r="D6" s="18" t="s">
        <v>20</v>
      </c>
      <c r="E6" s="5">
        <v>9.6799999999999997E-2</v>
      </c>
    </row>
    <row r="7" spans="1:5">
      <c r="A7" s="5">
        <v>5</v>
      </c>
      <c r="B7" s="19">
        <v>2</v>
      </c>
      <c r="C7" s="19" t="s">
        <v>14</v>
      </c>
      <c r="D7" s="18" t="s">
        <v>20</v>
      </c>
      <c r="E7" s="5">
        <v>9.7000000000000003E-2</v>
      </c>
    </row>
    <row r="8" spans="1:5">
      <c r="A8" s="5">
        <v>6</v>
      </c>
      <c r="B8" s="19">
        <v>2</v>
      </c>
      <c r="C8" s="19" t="s">
        <v>14</v>
      </c>
      <c r="D8" s="18" t="s">
        <v>20</v>
      </c>
      <c r="E8" s="5">
        <v>0.1004</v>
      </c>
    </row>
    <row r="9" spans="1:5">
      <c r="A9" s="5">
        <v>7</v>
      </c>
      <c r="B9" s="19">
        <v>3</v>
      </c>
      <c r="C9" s="19" t="s">
        <v>14</v>
      </c>
      <c r="D9" s="18" t="s">
        <v>21</v>
      </c>
      <c r="E9" s="5">
        <v>0.1036</v>
      </c>
    </row>
    <row r="10" spans="1:5">
      <c r="A10" s="5">
        <v>8</v>
      </c>
      <c r="B10" s="19">
        <v>3</v>
      </c>
      <c r="C10" s="19" t="s">
        <v>14</v>
      </c>
      <c r="D10" s="18" t="s">
        <v>21</v>
      </c>
      <c r="E10" s="5">
        <v>0.10340000000000001</v>
      </c>
    </row>
    <row r="11" spans="1:5">
      <c r="A11" s="5">
        <v>9</v>
      </c>
      <c r="B11" s="19">
        <v>3</v>
      </c>
      <c r="C11" s="19" t="s">
        <v>14</v>
      </c>
      <c r="D11" s="18" t="s">
        <v>21</v>
      </c>
      <c r="E11" s="5">
        <v>0.104</v>
      </c>
    </row>
    <row r="12" spans="1:5">
      <c r="A12" s="5">
        <v>10</v>
      </c>
      <c r="B12" s="19">
        <v>4</v>
      </c>
      <c r="C12" s="19" t="s">
        <v>14</v>
      </c>
      <c r="D12" s="18" t="s">
        <v>22</v>
      </c>
      <c r="E12" s="5">
        <v>0.1004</v>
      </c>
    </row>
    <row r="13" spans="1:5">
      <c r="A13" s="5">
        <v>11</v>
      </c>
      <c r="B13" s="19">
        <v>4</v>
      </c>
      <c r="C13" s="19" t="s">
        <v>14</v>
      </c>
      <c r="D13" s="18" t="s">
        <v>22</v>
      </c>
      <c r="E13" s="5">
        <v>9.5000000000000001E-2</v>
      </c>
    </row>
    <row r="14" spans="1:5">
      <c r="A14" s="5">
        <v>12</v>
      </c>
      <c r="B14" s="19">
        <v>4</v>
      </c>
      <c r="C14" s="19" t="s">
        <v>14</v>
      </c>
      <c r="D14" s="18" t="s">
        <v>22</v>
      </c>
      <c r="E14" s="5">
        <v>0.1009</v>
      </c>
    </row>
    <row r="15" spans="1:5">
      <c r="A15" s="5">
        <v>13</v>
      </c>
      <c r="B15" s="19">
        <v>5</v>
      </c>
      <c r="C15" s="19" t="s">
        <v>14</v>
      </c>
      <c r="D15" s="18" t="s">
        <v>23</v>
      </c>
      <c r="E15" s="5">
        <v>0.10150000000000001</v>
      </c>
    </row>
    <row r="16" spans="1:5">
      <c r="A16" s="5">
        <v>14</v>
      </c>
      <c r="B16" s="19">
        <v>5</v>
      </c>
      <c r="C16" s="19" t="s">
        <v>14</v>
      </c>
      <c r="D16" s="18" t="s">
        <v>23</v>
      </c>
      <c r="E16" s="5">
        <v>9.9299999999999999E-2</v>
      </c>
    </row>
    <row r="17" spans="1:5">
      <c r="A17" s="5">
        <v>15</v>
      </c>
      <c r="B17" s="19">
        <v>5</v>
      </c>
      <c r="C17" s="19" t="s">
        <v>14</v>
      </c>
      <c r="D17" s="18" t="s">
        <v>23</v>
      </c>
      <c r="E17" s="5">
        <v>0.10050000000000001</v>
      </c>
    </row>
    <row r="18" spans="1:5">
      <c r="A18" s="5">
        <v>16</v>
      </c>
      <c r="B18" s="19">
        <v>6</v>
      </c>
      <c r="C18" s="19" t="s">
        <v>14</v>
      </c>
      <c r="D18" s="18" t="s">
        <v>24</v>
      </c>
      <c r="E18" s="5">
        <v>0.10489999999999999</v>
      </c>
    </row>
    <row r="19" spans="1:5">
      <c r="A19" s="5">
        <v>17</v>
      </c>
      <c r="B19" s="19">
        <v>6</v>
      </c>
      <c r="C19" s="19" t="s">
        <v>14</v>
      </c>
      <c r="D19" s="18" t="s">
        <v>24</v>
      </c>
      <c r="E19" s="5">
        <v>0.1003</v>
      </c>
    </row>
    <row r="20" spans="1:5">
      <c r="A20" s="5">
        <v>18</v>
      </c>
      <c r="B20" s="19">
        <v>6</v>
      </c>
      <c r="C20" s="19" t="s">
        <v>14</v>
      </c>
      <c r="D20" s="18" t="s">
        <v>24</v>
      </c>
      <c r="E20" s="5">
        <v>0.105</v>
      </c>
    </row>
    <row r="21" spans="1:5">
      <c r="A21" s="5">
        <v>19</v>
      </c>
      <c r="B21" s="19">
        <v>7</v>
      </c>
      <c r="C21" s="19" t="s">
        <v>14</v>
      </c>
      <c r="D21" s="18" t="s">
        <v>25</v>
      </c>
      <c r="E21" s="5">
        <v>0.10299999999999999</v>
      </c>
    </row>
    <row r="22" spans="1:5">
      <c r="A22" s="5">
        <v>20</v>
      </c>
      <c r="B22" s="19">
        <v>7</v>
      </c>
      <c r="C22" s="19" t="s">
        <v>14</v>
      </c>
      <c r="D22" s="18" t="s">
        <v>25</v>
      </c>
      <c r="E22" s="5">
        <v>0.1021</v>
      </c>
    </row>
    <row r="23" spans="1:5">
      <c r="A23" s="5">
        <v>21</v>
      </c>
      <c r="B23" s="19">
        <v>7</v>
      </c>
      <c r="C23" s="19" t="s">
        <v>14</v>
      </c>
      <c r="D23" s="18" t="s">
        <v>25</v>
      </c>
      <c r="E23" s="5">
        <v>0.1048</v>
      </c>
    </row>
    <row r="24" spans="1:5">
      <c r="A24" s="5">
        <v>22</v>
      </c>
      <c r="B24" s="19">
        <v>8</v>
      </c>
      <c r="C24" s="19" t="s">
        <v>14</v>
      </c>
      <c r="D24" s="18" t="s">
        <v>26</v>
      </c>
      <c r="E24" s="5">
        <v>0.1007</v>
      </c>
    </row>
    <row r="25" spans="1:5">
      <c r="A25" s="5">
        <v>23</v>
      </c>
      <c r="B25" s="19">
        <v>8</v>
      </c>
      <c r="C25" s="19" t="s">
        <v>14</v>
      </c>
      <c r="D25" s="18" t="s">
        <v>26</v>
      </c>
      <c r="E25" s="5">
        <v>9.6000000000000002E-2</v>
      </c>
    </row>
    <row r="26" spans="1:5">
      <c r="A26" s="5">
        <v>24</v>
      </c>
      <c r="B26" s="19">
        <v>8</v>
      </c>
      <c r="C26" s="19" t="s">
        <v>14</v>
      </c>
      <c r="D26" s="18" t="s">
        <v>26</v>
      </c>
      <c r="E26" s="5">
        <v>0.1012</v>
      </c>
    </row>
    <row r="27" spans="1:5">
      <c r="A27" s="5">
        <v>25</v>
      </c>
      <c r="B27" s="19">
        <v>9</v>
      </c>
      <c r="C27" s="19" t="s">
        <v>14</v>
      </c>
      <c r="D27" s="18" t="s">
        <v>27</v>
      </c>
      <c r="E27" s="5">
        <v>9.5100000000000004E-2</v>
      </c>
    </row>
    <row r="28" spans="1:5">
      <c r="A28" s="5">
        <v>26</v>
      </c>
      <c r="B28" s="19">
        <v>9</v>
      </c>
      <c r="C28" s="19" t="s">
        <v>14</v>
      </c>
      <c r="D28" s="18" t="s">
        <v>27</v>
      </c>
      <c r="E28" s="5">
        <v>9.8699999999999996E-2</v>
      </c>
    </row>
    <row r="29" spans="1:5">
      <c r="A29" s="5">
        <v>27</v>
      </c>
      <c r="B29" s="19">
        <v>9</v>
      </c>
      <c r="C29" s="19" t="s">
        <v>14</v>
      </c>
      <c r="D29" s="18" t="s">
        <v>27</v>
      </c>
      <c r="E29" s="5">
        <v>0.10199999999999999</v>
      </c>
    </row>
    <row r="30" spans="1:5">
      <c r="A30" s="5">
        <v>28</v>
      </c>
      <c r="B30" s="19">
        <v>10</v>
      </c>
      <c r="C30" s="19" t="s">
        <v>14</v>
      </c>
      <c r="D30" s="18" t="s">
        <v>28</v>
      </c>
      <c r="E30" s="5">
        <v>0.10390000000000001</v>
      </c>
    </row>
    <row r="31" spans="1:5">
      <c r="A31" s="5">
        <v>29</v>
      </c>
      <c r="B31" s="19">
        <v>10</v>
      </c>
      <c r="C31" s="19" t="s">
        <v>14</v>
      </c>
      <c r="D31" s="18" t="s">
        <v>28</v>
      </c>
      <c r="E31" s="5">
        <v>9.69E-2</v>
      </c>
    </row>
    <row r="32" spans="1:5">
      <c r="A32" s="5">
        <v>30</v>
      </c>
      <c r="B32" s="19">
        <v>10</v>
      </c>
      <c r="C32" s="19" t="s">
        <v>14</v>
      </c>
      <c r="D32" s="18" t="s">
        <v>28</v>
      </c>
      <c r="E32" s="5">
        <v>9.98E-2</v>
      </c>
    </row>
    <row r="33" spans="1:5">
      <c r="A33" s="5">
        <v>31</v>
      </c>
      <c r="B33" s="19">
        <v>11</v>
      </c>
      <c r="C33" s="19" t="s">
        <v>14</v>
      </c>
      <c r="D33" s="18" t="s">
        <v>29</v>
      </c>
      <c r="E33" s="5">
        <v>9.9900000000000003E-2</v>
      </c>
    </row>
    <row r="34" spans="1:5">
      <c r="A34" s="5">
        <v>32</v>
      </c>
      <c r="B34" s="19">
        <v>11</v>
      </c>
      <c r="C34" s="19" t="s">
        <v>14</v>
      </c>
      <c r="D34" s="18" t="s">
        <v>29</v>
      </c>
      <c r="E34" s="5">
        <v>9.5000000000000001E-2</v>
      </c>
    </row>
    <row r="35" spans="1:5">
      <c r="A35" s="5">
        <v>33</v>
      </c>
      <c r="B35" s="19">
        <v>11</v>
      </c>
      <c r="C35" s="19" t="s">
        <v>14</v>
      </c>
      <c r="D35" s="18" t="s">
        <v>29</v>
      </c>
      <c r="E35" s="5">
        <v>0.99099999999999999</v>
      </c>
    </row>
    <row r="36" spans="1:5">
      <c r="A36" s="5">
        <v>34</v>
      </c>
      <c r="B36" s="19">
        <v>12</v>
      </c>
      <c r="C36" s="19" t="s">
        <v>14</v>
      </c>
      <c r="D36" s="18" t="s">
        <v>30</v>
      </c>
      <c r="E36" s="5">
        <v>0.1037</v>
      </c>
    </row>
    <row r="37" spans="1:5">
      <c r="A37" s="5">
        <v>35</v>
      </c>
      <c r="B37" s="19">
        <v>12</v>
      </c>
      <c r="C37" s="19" t="s">
        <v>14</v>
      </c>
      <c r="D37" s="18" t="s">
        <v>30</v>
      </c>
      <c r="E37" s="5">
        <v>0.1024</v>
      </c>
    </row>
    <row r="38" spans="1:5">
      <c r="A38" s="5">
        <v>36</v>
      </c>
      <c r="B38" s="19">
        <v>12</v>
      </c>
      <c r="C38" s="19" t="s">
        <v>14</v>
      </c>
      <c r="D38" s="18" t="s">
        <v>30</v>
      </c>
      <c r="E38" s="5">
        <v>9.7600000000000006E-2</v>
      </c>
    </row>
    <row r="39" spans="1:5">
      <c r="A39" s="5">
        <v>37</v>
      </c>
      <c r="B39" s="19">
        <v>13</v>
      </c>
      <c r="C39" s="19" t="s">
        <v>14</v>
      </c>
      <c r="D39" s="18" t="s">
        <v>31</v>
      </c>
      <c r="E39" s="5">
        <v>9.9500000000000005E-2</v>
      </c>
    </row>
    <row r="40" spans="1:5">
      <c r="A40" s="5">
        <v>38</v>
      </c>
      <c r="B40" s="19">
        <v>13</v>
      </c>
      <c r="C40" s="19" t="s">
        <v>14</v>
      </c>
      <c r="D40" s="18" t="s">
        <v>31</v>
      </c>
      <c r="E40" s="5">
        <v>0.1028</v>
      </c>
    </row>
    <row r="41" spans="1:5">
      <c r="A41" s="5">
        <v>39</v>
      </c>
      <c r="B41" s="19">
        <v>13</v>
      </c>
      <c r="C41" s="19" t="s">
        <v>14</v>
      </c>
      <c r="D41" s="18" t="s">
        <v>31</v>
      </c>
      <c r="E41" s="5">
        <v>0.106</v>
      </c>
    </row>
    <row r="42" spans="1:5">
      <c r="A42" s="5">
        <v>40</v>
      </c>
      <c r="B42" s="19">
        <v>14</v>
      </c>
      <c r="C42" s="19" t="s">
        <v>14</v>
      </c>
      <c r="D42" s="18" t="s">
        <v>32</v>
      </c>
      <c r="E42" s="5">
        <v>0.1002</v>
      </c>
    </row>
    <row r="43" spans="1:5">
      <c r="A43" s="5">
        <v>41</v>
      </c>
      <c r="B43" s="19">
        <v>14</v>
      </c>
      <c r="C43" s="19" t="s">
        <v>14</v>
      </c>
      <c r="D43" s="18" t="s">
        <v>32</v>
      </c>
      <c r="E43" s="5">
        <v>0.1013</v>
      </c>
    </row>
    <row r="44" spans="1:5">
      <c r="A44" s="5">
        <v>42</v>
      </c>
      <c r="B44" s="19">
        <v>14</v>
      </c>
      <c r="C44" s="19" t="s">
        <v>14</v>
      </c>
      <c r="D44" s="18" t="s">
        <v>32</v>
      </c>
      <c r="E44" s="5">
        <v>0.10059999999999999</v>
      </c>
    </row>
    <row r="45" spans="1:5">
      <c r="A45" s="5">
        <v>43</v>
      </c>
      <c r="B45" s="19">
        <v>15</v>
      </c>
      <c r="C45" s="19" t="s">
        <v>14</v>
      </c>
      <c r="D45" s="18" t="s">
        <v>33</v>
      </c>
      <c r="E45" s="5">
        <v>9.9000000000000005E-2</v>
      </c>
    </row>
    <row r="46" spans="1:5">
      <c r="A46" s="5">
        <v>44</v>
      </c>
      <c r="B46" s="19">
        <v>15</v>
      </c>
      <c r="C46" s="19" t="s">
        <v>14</v>
      </c>
      <c r="D46" s="18" t="s">
        <v>33</v>
      </c>
      <c r="E46" s="5">
        <v>0.1</v>
      </c>
    </row>
    <row r="47" spans="1:5">
      <c r="A47" s="5">
        <v>45</v>
      </c>
      <c r="B47" s="19">
        <v>15</v>
      </c>
      <c r="C47" s="19" t="s">
        <v>14</v>
      </c>
      <c r="D47" s="18" t="s">
        <v>33</v>
      </c>
      <c r="E47" s="5">
        <v>0.10150000000000001</v>
      </c>
    </row>
    <row r="48" spans="1:5">
      <c r="A48" s="5">
        <v>46</v>
      </c>
      <c r="B48" s="19">
        <v>16</v>
      </c>
      <c r="C48" s="19" t="s">
        <v>14</v>
      </c>
      <c r="D48" s="18" t="s">
        <v>34</v>
      </c>
      <c r="E48" s="5">
        <v>9.8699999999999996E-2</v>
      </c>
    </row>
    <row r="49" spans="1:5">
      <c r="A49" s="5">
        <v>47</v>
      </c>
      <c r="B49" s="19">
        <v>16</v>
      </c>
      <c r="C49" s="19" t="s">
        <v>14</v>
      </c>
      <c r="D49" s="18" t="s">
        <v>34</v>
      </c>
      <c r="E49" s="5">
        <v>9.6000000000000002E-2</v>
      </c>
    </row>
    <row r="50" spans="1:5">
      <c r="A50" s="5">
        <v>48</v>
      </c>
      <c r="B50" s="19">
        <v>16</v>
      </c>
      <c r="C50" s="19" t="s">
        <v>14</v>
      </c>
      <c r="D50" s="18" t="s">
        <v>34</v>
      </c>
      <c r="E50" s="5">
        <v>0.1026</v>
      </c>
    </row>
    <row r="51" spans="1:5">
      <c r="A51" s="5">
        <v>49</v>
      </c>
      <c r="B51" s="6">
        <v>1</v>
      </c>
      <c r="C51" s="6" t="s">
        <v>35</v>
      </c>
      <c r="D51" s="6" t="s">
        <v>15</v>
      </c>
      <c r="E51" s="5">
        <v>0.1017</v>
      </c>
    </row>
    <row r="52" spans="1:5">
      <c r="A52" s="5">
        <v>50</v>
      </c>
      <c r="B52" s="6">
        <v>1</v>
      </c>
      <c r="C52" s="6" t="s">
        <v>35</v>
      </c>
      <c r="D52" s="6" t="s">
        <v>15</v>
      </c>
      <c r="E52" s="5">
        <v>0.1052</v>
      </c>
    </row>
    <row r="53" spans="1:5">
      <c r="A53" s="5">
        <v>51</v>
      </c>
      <c r="B53" s="6">
        <v>1</v>
      </c>
      <c r="C53" s="6" t="s">
        <v>35</v>
      </c>
      <c r="D53" s="6" t="s">
        <v>15</v>
      </c>
      <c r="E53" s="5">
        <v>0.1024</v>
      </c>
    </row>
    <row r="54" spans="1:5">
      <c r="A54" s="5">
        <v>52</v>
      </c>
      <c r="B54" s="19">
        <v>2</v>
      </c>
      <c r="C54" s="6" t="s">
        <v>35</v>
      </c>
      <c r="D54" s="18" t="s">
        <v>20</v>
      </c>
      <c r="E54" s="5">
        <v>0.1004</v>
      </c>
    </row>
    <row r="55" spans="1:5">
      <c r="A55" s="5">
        <v>53</v>
      </c>
      <c r="B55" s="19">
        <v>2</v>
      </c>
      <c r="C55" s="6" t="s">
        <v>35</v>
      </c>
      <c r="D55" s="18" t="s">
        <v>20</v>
      </c>
      <c r="E55" s="5">
        <v>9.6799999999999997E-2</v>
      </c>
    </row>
    <row r="56" spans="1:5">
      <c r="A56" s="5">
        <v>54</v>
      </c>
      <c r="B56" s="19">
        <v>2</v>
      </c>
      <c r="C56" s="6" t="s">
        <v>35</v>
      </c>
      <c r="D56" s="18" t="s">
        <v>20</v>
      </c>
      <c r="E56" s="5">
        <v>0.10539999999999999</v>
      </c>
    </row>
    <row r="57" spans="1:5">
      <c r="A57" s="5">
        <v>55</v>
      </c>
      <c r="B57" s="19">
        <v>3</v>
      </c>
      <c r="C57" s="6" t="s">
        <v>35</v>
      </c>
      <c r="D57" s="18" t="s">
        <v>21</v>
      </c>
      <c r="E57" s="5">
        <v>9.7900000000000001E-2</v>
      </c>
    </row>
    <row r="58" spans="1:5">
      <c r="A58" s="5">
        <v>56</v>
      </c>
      <c r="B58" s="19">
        <v>3</v>
      </c>
      <c r="C58" s="6" t="s">
        <v>35</v>
      </c>
      <c r="D58" s="18" t="s">
        <v>21</v>
      </c>
      <c r="E58" s="5">
        <v>0.10009999999999999</v>
      </c>
    </row>
    <row r="59" spans="1:5">
      <c r="A59" s="5">
        <v>57</v>
      </c>
      <c r="B59" s="19">
        <v>3</v>
      </c>
      <c r="C59" s="6" t="s">
        <v>35</v>
      </c>
      <c r="D59" s="18" t="s">
        <v>21</v>
      </c>
      <c r="E59" s="5">
        <v>0.10199999999999999</v>
      </c>
    </row>
    <row r="60" spans="1:5">
      <c r="A60" s="5">
        <v>58</v>
      </c>
      <c r="B60" s="19">
        <v>4</v>
      </c>
      <c r="C60" s="6" t="s">
        <v>35</v>
      </c>
      <c r="D60" s="18" t="s">
        <v>22</v>
      </c>
      <c r="E60" s="5">
        <v>1.035E-2</v>
      </c>
    </row>
    <row r="61" spans="1:5">
      <c r="A61" s="5">
        <v>59</v>
      </c>
      <c r="B61" s="19">
        <v>4</v>
      </c>
      <c r="C61" s="6" t="s">
        <v>35</v>
      </c>
      <c r="D61" s="18" t="s">
        <v>22</v>
      </c>
      <c r="E61" s="5">
        <v>0.1012</v>
      </c>
    </row>
    <row r="62" spans="1:5">
      <c r="A62" s="5">
        <v>60</v>
      </c>
      <c r="B62" s="19">
        <v>4</v>
      </c>
      <c r="C62" s="6" t="s">
        <v>35</v>
      </c>
      <c r="D62" s="18" t="s">
        <v>22</v>
      </c>
      <c r="E62" s="5">
        <v>0.1048</v>
      </c>
    </row>
    <row r="63" spans="1:5">
      <c r="A63" s="5">
        <v>61</v>
      </c>
      <c r="B63" s="19">
        <v>5</v>
      </c>
      <c r="C63" s="6" t="s">
        <v>35</v>
      </c>
      <c r="D63" s="18" t="s">
        <v>23</v>
      </c>
      <c r="E63" s="5">
        <v>0.1019</v>
      </c>
    </row>
    <row r="64" spans="1:5">
      <c r="A64" s="5">
        <v>62</v>
      </c>
      <c r="B64" s="19">
        <v>5</v>
      </c>
      <c r="C64" s="6" t="s">
        <v>35</v>
      </c>
      <c r="D64" s="18" t="s">
        <v>23</v>
      </c>
      <c r="E64" s="5">
        <v>0.1036</v>
      </c>
    </row>
    <row r="65" spans="1:5">
      <c r="A65" s="5">
        <v>63</v>
      </c>
      <c r="B65" s="19">
        <v>5</v>
      </c>
      <c r="C65" s="6" t="s">
        <v>35</v>
      </c>
      <c r="D65" s="18" t="s">
        <v>23</v>
      </c>
      <c r="E65" s="5">
        <v>0.104</v>
      </c>
    </row>
    <row r="66" spans="1:5">
      <c r="A66" s="5">
        <v>64</v>
      </c>
      <c r="B66" s="19">
        <v>6</v>
      </c>
      <c r="C66" s="6" t="s">
        <v>35</v>
      </c>
      <c r="D66" s="18" t="s">
        <v>24</v>
      </c>
      <c r="E66" s="5">
        <v>0.1028</v>
      </c>
    </row>
    <row r="67" spans="1:5">
      <c r="A67" s="5">
        <v>65</v>
      </c>
      <c r="B67" s="19">
        <v>6</v>
      </c>
      <c r="C67" s="6" t="s">
        <v>35</v>
      </c>
      <c r="D67" s="18" t="s">
        <v>24</v>
      </c>
      <c r="E67" s="5">
        <v>0.10440000000000001</v>
      </c>
    </row>
    <row r="68" spans="1:5">
      <c r="A68" s="5">
        <v>66</v>
      </c>
      <c r="B68" s="19">
        <v>6</v>
      </c>
      <c r="C68" s="6" t="s">
        <v>35</v>
      </c>
      <c r="D68" s="18" t="s">
        <v>24</v>
      </c>
      <c r="E68" s="5">
        <v>9.9599999999999994E-2</v>
      </c>
    </row>
    <row r="69" spans="1:5">
      <c r="A69" s="5">
        <v>67</v>
      </c>
      <c r="B69" s="19">
        <v>7</v>
      </c>
      <c r="C69" s="6" t="s">
        <v>35</v>
      </c>
      <c r="D69" s="18" t="s">
        <v>25</v>
      </c>
      <c r="E69" s="5">
        <v>0.104</v>
      </c>
    </row>
    <row r="70" spans="1:5">
      <c r="A70" s="5">
        <v>68</v>
      </c>
      <c r="B70" s="19">
        <v>7</v>
      </c>
      <c r="C70" s="6" t="s">
        <v>35</v>
      </c>
      <c r="D70" s="18" t="s">
        <v>25</v>
      </c>
      <c r="E70" s="5">
        <v>0.1014</v>
      </c>
    </row>
    <row r="71" spans="1:5">
      <c r="A71" s="5">
        <v>69</v>
      </c>
      <c r="B71" s="19">
        <v>7</v>
      </c>
      <c r="C71" s="6" t="s">
        <v>35</v>
      </c>
      <c r="D71" s="18" t="s">
        <v>25</v>
      </c>
      <c r="E71" s="5">
        <v>9.9400000000000002E-2</v>
      </c>
    </row>
    <row r="72" spans="1:5">
      <c r="A72" s="5">
        <v>70</v>
      </c>
      <c r="B72" s="19">
        <v>8</v>
      </c>
      <c r="C72" s="6" t="s">
        <v>35</v>
      </c>
      <c r="D72" s="18" t="s">
        <v>26</v>
      </c>
      <c r="E72" s="5">
        <v>0.1038</v>
      </c>
    </row>
    <row r="73" spans="1:5">
      <c r="A73" s="5">
        <v>71</v>
      </c>
      <c r="B73" s="19">
        <v>8</v>
      </c>
      <c r="C73" s="6" t="s">
        <v>35</v>
      </c>
      <c r="D73" s="18" t="s">
        <v>26</v>
      </c>
      <c r="E73" s="5">
        <v>9.6799999999999997E-2</v>
      </c>
    </row>
    <row r="74" spans="1:5">
      <c r="A74" s="5">
        <v>72</v>
      </c>
      <c r="B74" s="19">
        <v>8</v>
      </c>
      <c r="C74" s="6" t="s">
        <v>35</v>
      </c>
      <c r="D74" s="18" t="s">
        <v>26</v>
      </c>
      <c r="E74" s="5">
        <v>0.1028</v>
      </c>
    </row>
    <row r="75" spans="1:5">
      <c r="A75" s="5">
        <v>73</v>
      </c>
      <c r="B75" s="19">
        <v>9</v>
      </c>
      <c r="C75" s="6" t="s">
        <v>35</v>
      </c>
      <c r="D75" s="18" t="s">
        <v>27</v>
      </c>
      <c r="E75" s="5">
        <v>0.10340000000000001</v>
      </c>
    </row>
    <row r="76" spans="1:5">
      <c r="A76" s="5">
        <v>74</v>
      </c>
      <c r="B76" s="19">
        <v>9</v>
      </c>
      <c r="C76" s="6" t="s">
        <v>35</v>
      </c>
      <c r="D76" s="18" t="s">
        <v>27</v>
      </c>
      <c r="E76" s="5">
        <v>9.9400000000000002E-2</v>
      </c>
    </row>
    <row r="77" spans="1:5">
      <c r="A77" s="5">
        <v>75</v>
      </c>
      <c r="B77" s="19">
        <v>9</v>
      </c>
      <c r="C77" s="6" t="s">
        <v>35</v>
      </c>
      <c r="D77" s="18" t="s">
        <v>27</v>
      </c>
      <c r="E77" s="5">
        <v>0.1012</v>
      </c>
    </row>
    <row r="78" spans="1:5">
      <c r="A78" s="5">
        <v>76</v>
      </c>
      <c r="B78" s="19">
        <v>10</v>
      </c>
      <c r="C78" s="6" t="s">
        <v>35</v>
      </c>
      <c r="D78" s="18" t="s">
        <v>28</v>
      </c>
      <c r="E78" s="5">
        <v>0.1024</v>
      </c>
    </row>
    <row r="79" spans="1:5">
      <c r="A79" s="5">
        <v>77</v>
      </c>
      <c r="B79" s="19">
        <v>10</v>
      </c>
      <c r="C79" s="6" t="s">
        <v>35</v>
      </c>
      <c r="D79" s="18" t="s">
        <v>28</v>
      </c>
      <c r="E79" s="5">
        <v>9.4299999999999995E-2</v>
      </c>
    </row>
    <row r="80" spans="1:5">
      <c r="A80" s="5">
        <v>78</v>
      </c>
      <c r="B80" s="19">
        <v>10</v>
      </c>
      <c r="C80" s="6" t="s">
        <v>35</v>
      </c>
      <c r="D80" s="18" t="s">
        <v>28</v>
      </c>
      <c r="E80" s="5">
        <v>9.9000000000000005E-2</v>
      </c>
    </row>
    <row r="81" spans="1:5">
      <c r="A81" s="5">
        <v>79</v>
      </c>
      <c r="B81" s="19">
        <v>11</v>
      </c>
      <c r="C81" s="6" t="s">
        <v>35</v>
      </c>
      <c r="D81" s="18" t="s">
        <v>29</v>
      </c>
      <c r="E81" s="5">
        <v>0.10100000000000001</v>
      </c>
    </row>
    <row r="82" spans="1:5">
      <c r="A82" s="5">
        <v>80</v>
      </c>
      <c r="B82" s="19">
        <v>11</v>
      </c>
      <c r="C82" s="6" t="s">
        <v>35</v>
      </c>
      <c r="D82" s="18" t="s">
        <v>29</v>
      </c>
      <c r="E82" s="5">
        <v>9.8699999999999996E-2</v>
      </c>
    </row>
    <row r="83" spans="1:5">
      <c r="A83" s="5">
        <v>81</v>
      </c>
      <c r="B83" s="19">
        <v>11</v>
      </c>
      <c r="C83" s="6" t="s">
        <v>35</v>
      </c>
      <c r="D83" s="18" t="s">
        <v>29</v>
      </c>
      <c r="E83" s="5">
        <v>0.1026</v>
      </c>
    </row>
    <row r="84" spans="1:5">
      <c r="A84" s="5">
        <v>82</v>
      </c>
      <c r="B84" s="19">
        <v>12</v>
      </c>
      <c r="C84" s="6" t="s">
        <v>35</v>
      </c>
      <c r="D84" s="18" t="s">
        <v>30</v>
      </c>
      <c r="E84" s="5">
        <v>9.98E-2</v>
      </c>
    </row>
    <row r="85" spans="1:5">
      <c r="A85" s="5">
        <v>83</v>
      </c>
      <c r="B85" s="19">
        <v>12</v>
      </c>
      <c r="C85" s="6" t="s">
        <v>35</v>
      </c>
      <c r="D85" s="18" t="s">
        <v>30</v>
      </c>
      <c r="E85" s="5">
        <v>9.7100000000000006E-2</v>
      </c>
    </row>
    <row r="86" spans="1:5">
      <c r="A86" s="5">
        <v>84</v>
      </c>
      <c r="B86" s="19">
        <v>12</v>
      </c>
      <c r="C86" s="6" t="s">
        <v>35</v>
      </c>
      <c r="D86" s="18" t="s">
        <v>30</v>
      </c>
      <c r="E86" s="5">
        <v>0.1026</v>
      </c>
    </row>
    <row r="87" spans="1:5">
      <c r="A87" s="5">
        <v>85</v>
      </c>
      <c r="B87" s="19">
        <v>13</v>
      </c>
      <c r="C87" s="6" t="s">
        <v>35</v>
      </c>
      <c r="D87" s="18" t="s">
        <v>31</v>
      </c>
      <c r="E87" s="5">
        <v>9.6600000000000005E-2</v>
      </c>
    </row>
    <row r="88" spans="1:5">
      <c r="A88" s="5">
        <v>86</v>
      </c>
      <c r="B88" s="19">
        <v>13</v>
      </c>
      <c r="C88" s="6" t="s">
        <v>35</v>
      </c>
      <c r="D88" s="18" t="s">
        <v>31</v>
      </c>
      <c r="E88" s="5">
        <v>0.1045</v>
      </c>
    </row>
    <row r="89" spans="1:5">
      <c r="A89" s="5">
        <v>87</v>
      </c>
      <c r="B89" s="19">
        <v>13</v>
      </c>
      <c r="C89" s="6" t="s">
        <v>35</v>
      </c>
      <c r="D89" s="18" t="s">
        <v>31</v>
      </c>
      <c r="E89" s="5">
        <v>0.1012</v>
      </c>
    </row>
    <row r="90" spans="1:5">
      <c r="A90" s="5">
        <v>88</v>
      </c>
      <c r="B90" s="19">
        <v>14</v>
      </c>
      <c r="C90" s="6" t="s">
        <v>35</v>
      </c>
      <c r="D90" s="18" t="s">
        <v>32</v>
      </c>
      <c r="E90" s="5">
        <v>9.98E-2</v>
      </c>
    </row>
    <row r="91" spans="1:5">
      <c r="A91" s="5">
        <v>89</v>
      </c>
      <c r="B91" s="19">
        <v>14</v>
      </c>
      <c r="C91" s="6" t="s">
        <v>35</v>
      </c>
      <c r="D91" s="18" t="s">
        <v>32</v>
      </c>
      <c r="E91" s="5">
        <v>9.7199999999999995E-2</v>
      </c>
    </row>
    <row r="92" spans="1:5">
      <c r="A92" s="5">
        <v>90</v>
      </c>
      <c r="B92" s="19">
        <v>14</v>
      </c>
      <c r="C92" s="6" t="s">
        <v>35</v>
      </c>
      <c r="D92" s="18" t="s">
        <v>32</v>
      </c>
      <c r="E92" s="5">
        <v>9.6699999999999994E-2</v>
      </c>
    </row>
    <row r="93" spans="1:5">
      <c r="A93" s="5">
        <v>91</v>
      </c>
      <c r="B93" s="19">
        <v>15</v>
      </c>
      <c r="C93" s="6" t="s">
        <v>35</v>
      </c>
      <c r="D93" s="18" t="s">
        <v>33</v>
      </c>
      <c r="E93" s="5">
        <v>0.10100000000000001</v>
      </c>
    </row>
    <row r="94" spans="1:5">
      <c r="A94" s="5">
        <v>92</v>
      </c>
      <c r="B94" s="19">
        <v>15</v>
      </c>
      <c r="C94" s="6" t="s">
        <v>35</v>
      </c>
      <c r="D94" s="18" t="s">
        <v>33</v>
      </c>
      <c r="E94" s="5">
        <v>0.10100000000000001</v>
      </c>
    </row>
    <row r="95" spans="1:5">
      <c r="A95" s="5">
        <v>93</v>
      </c>
      <c r="B95" s="19">
        <v>15</v>
      </c>
      <c r="C95" s="6" t="s">
        <v>35</v>
      </c>
      <c r="D95" s="18" t="s">
        <v>33</v>
      </c>
      <c r="E95" s="5">
        <v>0.10249999999999999</v>
      </c>
    </row>
    <row r="96" spans="1:5">
      <c r="A96" s="5">
        <v>94</v>
      </c>
      <c r="B96" s="19">
        <v>16</v>
      </c>
      <c r="C96" s="6" t="s">
        <v>35</v>
      </c>
      <c r="D96" s="18" t="s">
        <v>34</v>
      </c>
      <c r="E96" s="5">
        <v>9.7299999999999998E-2</v>
      </c>
    </row>
    <row r="97" spans="1:5">
      <c r="A97" s="5">
        <v>95</v>
      </c>
      <c r="B97" s="19">
        <v>16</v>
      </c>
      <c r="C97" s="6" t="s">
        <v>35</v>
      </c>
      <c r="D97" s="18" t="s">
        <v>34</v>
      </c>
      <c r="E97" s="5">
        <v>0.1017</v>
      </c>
    </row>
    <row r="98" spans="1:5">
      <c r="A98" s="5">
        <v>96</v>
      </c>
      <c r="B98" s="19">
        <v>16</v>
      </c>
      <c r="C98" s="6" t="s">
        <v>35</v>
      </c>
      <c r="D98" s="18" t="s">
        <v>34</v>
      </c>
      <c r="E98" s="5">
        <v>9.7000000000000003E-2</v>
      </c>
    </row>
  </sheetData>
  <mergeCells count="5">
    <mergeCell ref="A1:A2"/>
    <mergeCell ref="B1:B2"/>
    <mergeCell ref="C1:C2"/>
    <mergeCell ref="D1:D2"/>
    <mergeCell ref="E1:E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134D2D-FA5D-40B6-B7AF-4CF2C06F8197}">
  <dimension ref="A1:N39"/>
  <sheetViews>
    <sheetView workbookViewId="0">
      <selection activeCell="I34" sqref="I34"/>
    </sheetView>
  </sheetViews>
  <sheetFormatPr defaultColWidth="11.42578125" defaultRowHeight="15"/>
  <cols>
    <col min="9" max="9" width="9" customWidth="1"/>
    <col min="10" max="10" width="13.28515625" customWidth="1"/>
    <col min="13" max="13" width="13.5703125" customWidth="1"/>
  </cols>
  <sheetData>
    <row r="1" spans="1:14">
      <c r="A1" s="60" t="s">
        <v>0</v>
      </c>
      <c r="B1" s="62" t="s">
        <v>1</v>
      </c>
      <c r="C1" s="62" t="s">
        <v>2</v>
      </c>
      <c r="D1" s="62" t="s">
        <v>3</v>
      </c>
      <c r="E1" s="62" t="s">
        <v>51</v>
      </c>
      <c r="F1" s="62" t="s">
        <v>52</v>
      </c>
      <c r="G1" s="62" t="s">
        <v>53</v>
      </c>
      <c r="H1" s="62" t="s">
        <v>54</v>
      </c>
      <c r="I1" s="62" t="s">
        <v>55</v>
      </c>
      <c r="J1" s="62" t="s">
        <v>56</v>
      </c>
    </row>
    <row r="2" spans="1:14">
      <c r="A2" s="60"/>
      <c r="B2" s="62"/>
      <c r="C2" s="62"/>
      <c r="D2" s="62"/>
      <c r="E2" s="62"/>
      <c r="F2" s="62"/>
      <c r="G2" s="62"/>
      <c r="H2" s="62"/>
      <c r="I2" s="62"/>
      <c r="J2" s="62"/>
      <c r="L2" s="20" t="s">
        <v>57</v>
      </c>
      <c r="M2" s="60" t="s">
        <v>56</v>
      </c>
    </row>
    <row r="3" spans="1:14">
      <c r="A3">
        <v>1</v>
      </c>
      <c r="B3">
        <v>1</v>
      </c>
      <c r="C3" t="s">
        <v>14</v>
      </c>
      <c r="D3" t="s">
        <v>15</v>
      </c>
      <c r="E3">
        <v>1.64</v>
      </c>
      <c r="F3">
        <v>1.03</v>
      </c>
      <c r="G3">
        <f>E3-$B$39</f>
        <v>0.71499999999999986</v>
      </c>
      <c r="H3">
        <f>F3-$B$39</f>
        <v>0.10499999999999998</v>
      </c>
      <c r="I3" s="29">
        <f t="shared" ref="I3:I34" si="0">G3/H3</f>
        <v>6.8095238095238093</v>
      </c>
      <c r="J3" s="29">
        <f>((G3-H3)/G3)*100</f>
        <v>85.314685314685306</v>
      </c>
      <c r="L3" s="30" t="s">
        <v>58</v>
      </c>
      <c r="M3" s="61"/>
      <c r="N3" s="31" t="s">
        <v>10</v>
      </c>
    </row>
    <row r="4" spans="1:14">
      <c r="A4">
        <v>2</v>
      </c>
      <c r="B4">
        <v>2</v>
      </c>
      <c r="C4" t="s">
        <v>14</v>
      </c>
      <c r="D4" t="s">
        <v>20</v>
      </c>
      <c r="E4">
        <v>1.31</v>
      </c>
      <c r="F4">
        <v>0.99</v>
      </c>
      <c r="G4">
        <f t="shared" ref="G4:G34" si="1">E4-$B$39</f>
        <v>0.38500000000000001</v>
      </c>
      <c r="H4">
        <f t="shared" ref="H4:H34" si="2">F4-$B$39</f>
        <v>6.4999999999999947E-2</v>
      </c>
      <c r="I4" s="29">
        <f t="shared" si="0"/>
        <v>5.9230769230769278</v>
      </c>
      <c r="J4" s="29">
        <f t="shared" ref="J4:J34" si="3">((G4-H4)/G4)*100</f>
        <v>83.11688311688313</v>
      </c>
      <c r="L4" t="s">
        <v>59</v>
      </c>
      <c r="M4" s="29">
        <f>AVERAGE(J3,J8,J12,J15)</f>
        <v>86.071445698904228</v>
      </c>
      <c r="N4" s="29">
        <f>STDEV(J3,J8,J12,J15)/SQRT(4)</f>
        <v>0.54587336841486978</v>
      </c>
    </row>
    <row r="5" spans="1:14">
      <c r="A5">
        <v>3</v>
      </c>
      <c r="B5">
        <v>3</v>
      </c>
      <c r="C5" t="s">
        <v>14</v>
      </c>
      <c r="D5" t="s">
        <v>21</v>
      </c>
      <c r="E5">
        <v>1.56</v>
      </c>
      <c r="F5">
        <v>1.01</v>
      </c>
      <c r="G5">
        <f t="shared" si="1"/>
        <v>0.63500000000000001</v>
      </c>
      <c r="H5">
        <f t="shared" si="2"/>
        <v>8.4999999999999964E-2</v>
      </c>
      <c r="I5" s="29">
        <f t="shared" si="0"/>
        <v>7.4705882352941213</v>
      </c>
      <c r="J5" s="29">
        <f t="shared" si="3"/>
        <v>86.614173228346459</v>
      </c>
      <c r="L5" t="s">
        <v>60</v>
      </c>
      <c r="M5" s="29">
        <f>AVERAGE(J5,J10,J13,J18)</f>
        <v>88.429849448187753</v>
      </c>
      <c r="N5" s="29">
        <f>STDEV(J5,J10,J13,J18)/SQRT(4)</f>
        <v>0.98207590356507779</v>
      </c>
    </row>
    <row r="6" spans="1:14">
      <c r="A6">
        <v>4</v>
      </c>
      <c r="B6">
        <v>4</v>
      </c>
      <c r="C6" t="s">
        <v>14</v>
      </c>
      <c r="D6" t="s">
        <v>22</v>
      </c>
      <c r="E6">
        <v>1.36</v>
      </c>
      <c r="F6">
        <v>0.97</v>
      </c>
      <c r="G6">
        <f t="shared" si="1"/>
        <v>0.43500000000000005</v>
      </c>
      <c r="H6">
        <f t="shared" si="2"/>
        <v>4.4999999999999929E-2</v>
      </c>
      <c r="I6" s="29">
        <f t="shared" si="0"/>
        <v>9.6666666666666838</v>
      </c>
      <c r="J6" s="29">
        <f t="shared" si="3"/>
        <v>89.65517241379311</v>
      </c>
      <c r="L6" t="s">
        <v>61</v>
      </c>
      <c r="M6" s="29">
        <f>AVERAGE(J4,J7,J11,J16)</f>
        <v>89.525617345548881</v>
      </c>
      <c r="N6" s="29">
        <f>STDEV(J4,J7,J11,J16)/SQRT(4)</f>
        <v>2.150832829912376</v>
      </c>
    </row>
    <row r="7" spans="1:14">
      <c r="A7">
        <v>5</v>
      </c>
      <c r="B7">
        <v>5</v>
      </c>
      <c r="C7" t="s">
        <v>14</v>
      </c>
      <c r="D7" t="s">
        <v>23</v>
      </c>
      <c r="E7">
        <v>1.43</v>
      </c>
      <c r="F7">
        <v>0.97</v>
      </c>
      <c r="G7">
        <f t="shared" si="1"/>
        <v>0.50499999999999989</v>
      </c>
      <c r="H7">
        <f t="shared" si="2"/>
        <v>4.4999999999999929E-2</v>
      </c>
      <c r="I7" s="29">
        <f t="shared" si="0"/>
        <v>11.222222222222237</v>
      </c>
      <c r="J7" s="29">
        <f t="shared" si="3"/>
        <v>91.089108910891099</v>
      </c>
      <c r="L7" t="s">
        <v>62</v>
      </c>
      <c r="M7" s="29">
        <f t="shared" ref="M7" si="4">AVERAGE(J6,J11,J15,J18)</f>
        <v>89.420370516332554</v>
      </c>
      <c r="N7" s="29">
        <f>STDEV(J6,J9,J14,J17)/SQRT(4)</f>
        <v>2.0313834032584017</v>
      </c>
    </row>
    <row r="8" spans="1:14">
      <c r="A8">
        <v>6</v>
      </c>
      <c r="B8">
        <v>6</v>
      </c>
      <c r="C8" t="s">
        <v>14</v>
      </c>
      <c r="D8" t="s">
        <v>24</v>
      </c>
      <c r="E8">
        <v>1.27</v>
      </c>
      <c r="F8">
        <v>0.97</v>
      </c>
      <c r="G8">
        <f t="shared" si="1"/>
        <v>0.34499999999999997</v>
      </c>
      <c r="H8">
        <f t="shared" si="2"/>
        <v>4.4999999999999929E-2</v>
      </c>
      <c r="I8" s="29">
        <f t="shared" si="0"/>
        <v>7.6666666666666785</v>
      </c>
      <c r="J8" s="29">
        <f t="shared" si="3"/>
        <v>86.956521739130451</v>
      </c>
      <c r="L8" s="30" t="s">
        <v>63</v>
      </c>
      <c r="M8" s="30"/>
      <c r="N8" s="30"/>
    </row>
    <row r="9" spans="1:14">
      <c r="A9">
        <v>7</v>
      </c>
      <c r="B9">
        <v>7</v>
      </c>
      <c r="C9" t="s">
        <v>14</v>
      </c>
      <c r="D9" t="s">
        <v>25</v>
      </c>
      <c r="E9">
        <v>1.7</v>
      </c>
      <c r="F9">
        <v>1.02</v>
      </c>
      <c r="G9">
        <f t="shared" si="1"/>
        <v>0.77499999999999991</v>
      </c>
      <c r="H9">
        <f t="shared" si="2"/>
        <v>9.4999999999999973E-2</v>
      </c>
      <c r="I9" s="29">
        <f t="shared" si="0"/>
        <v>8.1578947368421062</v>
      </c>
      <c r="J9" s="29">
        <f t="shared" si="3"/>
        <v>87.741935483870975</v>
      </c>
      <c r="L9" t="s">
        <v>59</v>
      </c>
      <c r="M9" s="29">
        <f>+AVERAGE(J19,J24,J28,J31)</f>
        <v>85.336299899312635</v>
      </c>
      <c r="N9" s="29">
        <f>STDEV(J19,J24,J28,J31)/SQRT(4)</f>
        <v>0.86081070724099717</v>
      </c>
    </row>
    <row r="10" spans="1:14">
      <c r="A10">
        <v>8</v>
      </c>
      <c r="B10">
        <v>8</v>
      </c>
      <c r="C10" t="s">
        <v>14</v>
      </c>
      <c r="D10" t="s">
        <v>26</v>
      </c>
      <c r="E10">
        <v>1.36</v>
      </c>
      <c r="F10">
        <v>0.98</v>
      </c>
      <c r="G10">
        <f t="shared" si="1"/>
        <v>0.43500000000000005</v>
      </c>
      <c r="H10">
        <f t="shared" si="2"/>
        <v>5.4999999999999938E-2</v>
      </c>
      <c r="I10" s="29">
        <f t="shared" si="0"/>
        <v>7.9090909090909189</v>
      </c>
      <c r="J10" s="29">
        <f t="shared" si="3"/>
        <v>87.356321839080479</v>
      </c>
      <c r="L10" t="s">
        <v>60</v>
      </c>
      <c r="M10" s="29">
        <f>+AVERAGE(J21,J26,J29,J34)</f>
        <v>87.928622647362246</v>
      </c>
      <c r="N10" s="29">
        <f>STDEV(J21,J26,J29,J34)/SQRT(4)</f>
        <v>0.8832609880602339</v>
      </c>
    </row>
    <row r="11" spans="1:14">
      <c r="A11">
        <v>9</v>
      </c>
      <c r="B11">
        <v>9</v>
      </c>
      <c r="C11" t="s">
        <v>14</v>
      </c>
      <c r="D11" t="s">
        <v>27</v>
      </c>
      <c r="E11">
        <v>1.25</v>
      </c>
      <c r="F11">
        <v>0.95</v>
      </c>
      <c r="G11">
        <f t="shared" si="1"/>
        <v>0.32499999999999996</v>
      </c>
      <c r="H11">
        <f t="shared" si="2"/>
        <v>2.4999999999999911E-2</v>
      </c>
      <c r="I11" s="29">
        <f t="shared" si="0"/>
        <v>13.000000000000044</v>
      </c>
      <c r="J11" s="29">
        <f t="shared" si="3"/>
        <v>92.307692307692335</v>
      </c>
      <c r="L11" t="s">
        <v>61</v>
      </c>
      <c r="M11" s="29">
        <f>+AVERAGE(J20,J23,J27,J32)</f>
        <v>84.321667723202253</v>
      </c>
      <c r="N11" s="29">
        <f>STDEV(J20,J23,J27,J32)/SQRT(4)</f>
        <v>1.2432026980520094</v>
      </c>
    </row>
    <row r="12" spans="1:14">
      <c r="A12">
        <v>10</v>
      </c>
      <c r="B12">
        <v>10</v>
      </c>
      <c r="C12" t="s">
        <v>14</v>
      </c>
      <c r="D12" t="s">
        <v>28</v>
      </c>
      <c r="E12">
        <v>1.49</v>
      </c>
      <c r="F12">
        <v>1.01</v>
      </c>
      <c r="G12">
        <f t="shared" si="1"/>
        <v>0.56499999999999995</v>
      </c>
      <c r="H12">
        <f t="shared" si="2"/>
        <v>8.4999999999999964E-2</v>
      </c>
      <c r="I12" s="29">
        <f t="shared" si="0"/>
        <v>6.6470588235294139</v>
      </c>
      <c r="J12" s="29">
        <f t="shared" si="3"/>
        <v>84.955752212389385</v>
      </c>
      <c r="L12" t="s">
        <v>62</v>
      </c>
      <c r="M12" s="29">
        <f>AVERAGE(J22,J25,J30,J33)</f>
        <v>85.988600422550974</v>
      </c>
      <c r="N12" s="29">
        <f>STDEV(J22,J25,J30,J33)/SQRT(4)</f>
        <v>1.5502483526297062</v>
      </c>
    </row>
    <row r="13" spans="1:14">
      <c r="A13">
        <v>11</v>
      </c>
      <c r="B13">
        <v>11</v>
      </c>
      <c r="C13" t="s">
        <v>14</v>
      </c>
      <c r="D13" t="s">
        <v>29</v>
      </c>
      <c r="E13">
        <v>1.43</v>
      </c>
      <c r="F13">
        <v>0.97</v>
      </c>
      <c r="G13">
        <f t="shared" si="1"/>
        <v>0.50499999999999989</v>
      </c>
      <c r="H13">
        <f t="shared" si="2"/>
        <v>4.4999999999999929E-2</v>
      </c>
      <c r="I13" s="29">
        <f t="shared" si="0"/>
        <v>11.222222222222237</v>
      </c>
      <c r="J13" s="29">
        <f t="shared" si="3"/>
        <v>91.089108910891099</v>
      </c>
    </row>
    <row r="14" spans="1:14">
      <c r="A14">
        <v>12</v>
      </c>
      <c r="B14">
        <v>12</v>
      </c>
      <c r="C14" t="s">
        <v>14</v>
      </c>
      <c r="D14" t="s">
        <v>30</v>
      </c>
      <c r="E14">
        <v>1.27</v>
      </c>
      <c r="F14">
        <v>0.94</v>
      </c>
      <c r="G14">
        <f t="shared" si="1"/>
        <v>0.34499999999999997</v>
      </c>
      <c r="H14">
        <f t="shared" si="2"/>
        <v>1.4999999999999902E-2</v>
      </c>
      <c r="I14" s="29">
        <f t="shared" si="0"/>
        <v>23.000000000000149</v>
      </c>
      <c r="J14" s="29">
        <f t="shared" si="3"/>
        <v>95.652173913043498</v>
      </c>
    </row>
    <row r="15" spans="1:14">
      <c r="A15">
        <v>13</v>
      </c>
      <c r="B15">
        <v>13</v>
      </c>
      <c r="C15" t="s">
        <v>14</v>
      </c>
      <c r="D15" t="s">
        <v>31</v>
      </c>
      <c r="E15">
        <v>1.35</v>
      </c>
      <c r="F15">
        <v>0.98</v>
      </c>
      <c r="G15">
        <f t="shared" si="1"/>
        <v>0.42500000000000004</v>
      </c>
      <c r="H15">
        <f t="shared" si="2"/>
        <v>5.4999999999999938E-2</v>
      </c>
      <c r="I15" s="29">
        <f t="shared" si="0"/>
        <v>7.7272727272727364</v>
      </c>
      <c r="J15" s="29">
        <f t="shared" si="3"/>
        <v>87.058823529411782</v>
      </c>
    </row>
    <row r="16" spans="1:14">
      <c r="A16">
        <v>14</v>
      </c>
      <c r="B16">
        <v>14</v>
      </c>
      <c r="C16" t="s">
        <v>14</v>
      </c>
      <c r="D16" t="s">
        <v>32</v>
      </c>
      <c r="E16">
        <v>1.46</v>
      </c>
      <c r="F16">
        <v>0.97</v>
      </c>
      <c r="G16">
        <f t="shared" si="1"/>
        <v>0.53499999999999992</v>
      </c>
      <c r="H16">
        <f t="shared" si="2"/>
        <v>4.4999999999999929E-2</v>
      </c>
      <c r="I16" s="29">
        <f t="shared" si="0"/>
        <v>11.888888888888905</v>
      </c>
      <c r="J16" s="29">
        <f t="shared" si="3"/>
        <v>91.588785046728987</v>
      </c>
    </row>
    <row r="17" spans="1:10">
      <c r="A17">
        <v>15</v>
      </c>
      <c r="B17">
        <v>15</v>
      </c>
      <c r="C17" t="s">
        <v>14</v>
      </c>
      <c r="D17" t="s">
        <v>33</v>
      </c>
      <c r="E17">
        <v>1.1499999999999999</v>
      </c>
      <c r="F17">
        <v>0.92</v>
      </c>
      <c r="G17">
        <f t="shared" si="1"/>
        <v>0.22499999999999987</v>
      </c>
      <c r="H17">
        <f>F17-0.91</f>
        <v>1.0000000000000009E-2</v>
      </c>
      <c r="I17" s="29">
        <f t="shared" si="0"/>
        <v>22.499999999999968</v>
      </c>
      <c r="J17" s="29">
        <f t="shared" si="3"/>
        <v>95.555555555555543</v>
      </c>
    </row>
    <row r="18" spans="1:10">
      <c r="A18">
        <v>16</v>
      </c>
      <c r="B18">
        <v>16</v>
      </c>
      <c r="C18" t="s">
        <v>14</v>
      </c>
      <c r="D18" t="s">
        <v>34</v>
      </c>
      <c r="E18">
        <v>1.41</v>
      </c>
      <c r="F18">
        <v>0.98</v>
      </c>
      <c r="G18">
        <f t="shared" si="1"/>
        <v>0.48499999999999988</v>
      </c>
      <c r="H18">
        <f t="shared" si="2"/>
        <v>5.4999999999999938E-2</v>
      </c>
      <c r="I18" s="29">
        <f t="shared" si="0"/>
        <v>8.8181818181818254</v>
      </c>
      <c r="J18" s="29">
        <f t="shared" si="3"/>
        <v>88.659793814433002</v>
      </c>
    </row>
    <row r="19" spans="1:10">
      <c r="A19">
        <v>17</v>
      </c>
      <c r="B19">
        <v>1</v>
      </c>
      <c r="C19" t="s">
        <v>35</v>
      </c>
      <c r="D19" t="s">
        <v>15</v>
      </c>
      <c r="E19">
        <v>1.42</v>
      </c>
      <c r="F19">
        <v>1</v>
      </c>
      <c r="G19">
        <f t="shared" si="1"/>
        <v>0.49499999999999988</v>
      </c>
      <c r="H19">
        <f t="shared" si="2"/>
        <v>7.4999999999999956E-2</v>
      </c>
      <c r="I19" s="29">
        <f t="shared" si="0"/>
        <v>6.6000000000000023</v>
      </c>
      <c r="J19" s="29">
        <f t="shared" si="3"/>
        <v>84.848484848484844</v>
      </c>
    </row>
    <row r="20" spans="1:10">
      <c r="A20">
        <v>18</v>
      </c>
      <c r="B20">
        <v>2</v>
      </c>
      <c r="C20" t="s">
        <v>35</v>
      </c>
      <c r="D20" t="s">
        <v>20</v>
      </c>
      <c r="E20">
        <v>1.6</v>
      </c>
      <c r="F20">
        <v>1.02</v>
      </c>
      <c r="G20">
        <f t="shared" si="1"/>
        <v>0.67500000000000004</v>
      </c>
      <c r="H20">
        <f t="shared" si="2"/>
        <v>9.4999999999999973E-2</v>
      </c>
      <c r="I20" s="29">
        <f t="shared" si="0"/>
        <v>7.1052631578947389</v>
      </c>
      <c r="J20" s="29">
        <f t="shared" si="3"/>
        <v>85.925925925925924</v>
      </c>
    </row>
    <row r="21" spans="1:10">
      <c r="A21">
        <v>19</v>
      </c>
      <c r="B21">
        <v>3</v>
      </c>
      <c r="C21" t="s">
        <v>35</v>
      </c>
      <c r="D21" t="s">
        <v>21</v>
      </c>
      <c r="E21">
        <v>1.5</v>
      </c>
      <c r="F21">
        <v>0.98</v>
      </c>
      <c r="G21">
        <f t="shared" si="1"/>
        <v>0.57499999999999996</v>
      </c>
      <c r="H21">
        <f t="shared" si="2"/>
        <v>5.4999999999999938E-2</v>
      </c>
      <c r="I21" s="29">
        <f t="shared" si="0"/>
        <v>10.454545454545466</v>
      </c>
      <c r="J21" s="29">
        <f t="shared" si="3"/>
        <v>90.434782608695656</v>
      </c>
    </row>
    <row r="22" spans="1:10">
      <c r="A22">
        <v>20</v>
      </c>
      <c r="B22">
        <v>4</v>
      </c>
      <c r="C22" t="s">
        <v>35</v>
      </c>
      <c r="D22" t="s">
        <v>22</v>
      </c>
      <c r="E22">
        <v>1.37</v>
      </c>
      <c r="F22">
        <v>0.98</v>
      </c>
      <c r="G22">
        <f t="shared" si="1"/>
        <v>0.44500000000000006</v>
      </c>
      <c r="H22">
        <f t="shared" si="2"/>
        <v>5.4999999999999938E-2</v>
      </c>
      <c r="I22" s="29">
        <f t="shared" si="0"/>
        <v>8.0909090909091006</v>
      </c>
      <c r="J22" s="29">
        <f t="shared" si="3"/>
        <v>87.640449438202268</v>
      </c>
    </row>
    <row r="23" spans="1:10">
      <c r="A23">
        <v>21</v>
      </c>
      <c r="B23">
        <v>5</v>
      </c>
      <c r="C23" t="s">
        <v>35</v>
      </c>
      <c r="D23" t="s">
        <v>23</v>
      </c>
      <c r="E23">
        <v>1.51</v>
      </c>
      <c r="F23">
        <v>1.03</v>
      </c>
      <c r="G23">
        <f t="shared" si="1"/>
        <v>0.58499999999999996</v>
      </c>
      <c r="H23">
        <f t="shared" si="2"/>
        <v>0.10499999999999998</v>
      </c>
      <c r="I23" s="29">
        <f t="shared" si="0"/>
        <v>5.5714285714285721</v>
      </c>
      <c r="J23" s="29">
        <f t="shared" si="3"/>
        <v>82.051282051282044</v>
      </c>
    </row>
    <row r="24" spans="1:10">
      <c r="A24">
        <v>22</v>
      </c>
      <c r="B24">
        <v>6</v>
      </c>
      <c r="C24" t="s">
        <v>35</v>
      </c>
      <c r="D24" t="s">
        <v>24</v>
      </c>
      <c r="E24">
        <v>1.51</v>
      </c>
      <c r="F24">
        <v>1</v>
      </c>
      <c r="G24">
        <f t="shared" si="1"/>
        <v>0.58499999999999996</v>
      </c>
      <c r="H24">
        <f t="shared" si="2"/>
        <v>7.4999999999999956E-2</v>
      </c>
      <c r="I24" s="29">
        <f t="shared" si="0"/>
        <v>7.8000000000000043</v>
      </c>
      <c r="J24" s="29">
        <f t="shared" si="3"/>
        <v>87.179487179487197</v>
      </c>
    </row>
    <row r="25" spans="1:10">
      <c r="A25">
        <v>23</v>
      </c>
      <c r="B25">
        <v>7</v>
      </c>
      <c r="C25" t="s">
        <v>35</v>
      </c>
      <c r="D25" t="s">
        <v>25</v>
      </c>
      <c r="E25">
        <v>1.39</v>
      </c>
      <c r="F25">
        <v>0.99</v>
      </c>
      <c r="G25">
        <f t="shared" si="1"/>
        <v>0.46499999999999986</v>
      </c>
      <c r="H25">
        <f t="shared" si="2"/>
        <v>6.4999999999999947E-2</v>
      </c>
      <c r="I25" s="29">
        <f t="shared" si="0"/>
        <v>7.1538461538461577</v>
      </c>
      <c r="J25" s="29">
        <f t="shared" si="3"/>
        <v>86.021505376344095</v>
      </c>
    </row>
    <row r="26" spans="1:10">
      <c r="A26">
        <v>24</v>
      </c>
      <c r="B26">
        <v>8</v>
      </c>
      <c r="C26" t="s">
        <v>35</v>
      </c>
      <c r="D26" t="s">
        <v>26</v>
      </c>
      <c r="E26">
        <v>1.66</v>
      </c>
      <c r="F26">
        <v>1.02</v>
      </c>
      <c r="G26">
        <f t="shared" si="1"/>
        <v>0.73499999999999988</v>
      </c>
      <c r="H26">
        <f t="shared" si="2"/>
        <v>9.4999999999999973E-2</v>
      </c>
      <c r="I26" s="29">
        <f t="shared" si="0"/>
        <v>7.7368421052631584</v>
      </c>
      <c r="J26" s="29">
        <f t="shared" si="3"/>
        <v>87.074829931972786</v>
      </c>
    </row>
    <row r="27" spans="1:10">
      <c r="A27">
        <v>25</v>
      </c>
      <c r="B27">
        <v>9</v>
      </c>
      <c r="C27" t="s">
        <v>35</v>
      </c>
      <c r="D27" t="s">
        <v>27</v>
      </c>
      <c r="E27">
        <v>1.5</v>
      </c>
      <c r="F27">
        <v>1</v>
      </c>
      <c r="G27">
        <f t="shared" si="1"/>
        <v>0.57499999999999996</v>
      </c>
      <c r="H27">
        <f t="shared" si="2"/>
        <v>7.4999999999999956E-2</v>
      </c>
      <c r="I27" s="29">
        <f t="shared" si="0"/>
        <v>7.6666666666666705</v>
      </c>
      <c r="J27" s="29">
        <f t="shared" si="3"/>
        <v>86.956521739130437</v>
      </c>
    </row>
    <row r="28" spans="1:10">
      <c r="A28">
        <v>26</v>
      </c>
      <c r="B28">
        <v>10</v>
      </c>
      <c r="C28" t="s">
        <v>35</v>
      </c>
      <c r="D28" t="s">
        <v>28</v>
      </c>
      <c r="E28">
        <v>1.49</v>
      </c>
      <c r="F28">
        <v>1.02</v>
      </c>
      <c r="G28">
        <f t="shared" si="1"/>
        <v>0.56499999999999995</v>
      </c>
      <c r="H28">
        <f t="shared" si="2"/>
        <v>9.4999999999999973E-2</v>
      </c>
      <c r="I28" s="29">
        <f t="shared" si="0"/>
        <v>5.9473684210526327</v>
      </c>
      <c r="J28" s="29">
        <f t="shared" si="3"/>
        <v>83.185840707964616</v>
      </c>
    </row>
    <row r="29" spans="1:10">
      <c r="A29">
        <v>27</v>
      </c>
      <c r="B29">
        <v>11</v>
      </c>
      <c r="C29" t="s">
        <v>35</v>
      </c>
      <c r="D29" t="s">
        <v>29</v>
      </c>
      <c r="E29">
        <v>1.55</v>
      </c>
      <c r="F29">
        <v>1.01</v>
      </c>
      <c r="G29">
        <f t="shared" si="1"/>
        <v>0.625</v>
      </c>
      <c r="H29">
        <f t="shared" si="2"/>
        <v>8.4999999999999964E-2</v>
      </c>
      <c r="I29" s="29">
        <f t="shared" si="0"/>
        <v>7.3529411764705914</v>
      </c>
      <c r="J29" s="29">
        <f t="shared" si="3"/>
        <v>86.4</v>
      </c>
    </row>
    <row r="30" spans="1:10">
      <c r="A30">
        <v>28</v>
      </c>
      <c r="B30">
        <v>12</v>
      </c>
      <c r="C30" t="s">
        <v>35</v>
      </c>
      <c r="D30" t="s">
        <v>30</v>
      </c>
      <c r="E30">
        <v>1.41</v>
      </c>
      <c r="F30">
        <v>0.98</v>
      </c>
      <c r="G30">
        <f t="shared" si="1"/>
        <v>0.48499999999999988</v>
      </c>
      <c r="H30">
        <f t="shared" si="2"/>
        <v>5.4999999999999938E-2</v>
      </c>
      <c r="I30" s="29">
        <f t="shared" si="0"/>
        <v>8.8181818181818254</v>
      </c>
      <c r="J30" s="29">
        <f t="shared" si="3"/>
        <v>88.659793814433002</v>
      </c>
    </row>
    <row r="31" spans="1:10">
      <c r="A31">
        <v>29</v>
      </c>
      <c r="B31">
        <v>13</v>
      </c>
      <c r="C31" t="s">
        <v>35</v>
      </c>
      <c r="D31" t="s">
        <v>31</v>
      </c>
      <c r="E31">
        <v>1.61</v>
      </c>
      <c r="F31">
        <v>1.02</v>
      </c>
      <c r="G31">
        <f t="shared" si="1"/>
        <v>0.68500000000000005</v>
      </c>
      <c r="H31">
        <f t="shared" si="2"/>
        <v>9.4999999999999973E-2</v>
      </c>
      <c r="I31" s="29">
        <f t="shared" si="0"/>
        <v>7.2105263157894761</v>
      </c>
      <c r="J31" s="29">
        <f t="shared" si="3"/>
        <v>86.131386861313871</v>
      </c>
    </row>
    <row r="32" spans="1:10">
      <c r="A32">
        <v>30</v>
      </c>
      <c r="B32">
        <v>14</v>
      </c>
      <c r="C32" t="s">
        <v>35</v>
      </c>
      <c r="D32" t="s">
        <v>32</v>
      </c>
      <c r="E32">
        <v>1.18</v>
      </c>
      <c r="F32">
        <v>0.97</v>
      </c>
      <c r="G32">
        <f t="shared" si="1"/>
        <v>0.25499999999999989</v>
      </c>
      <c r="H32">
        <f t="shared" si="2"/>
        <v>4.4999999999999929E-2</v>
      </c>
      <c r="I32" s="29">
        <f t="shared" si="0"/>
        <v>5.6666666666666732</v>
      </c>
      <c r="J32" s="29">
        <f t="shared" si="3"/>
        <v>82.352941176470608</v>
      </c>
    </row>
    <row r="33" spans="1:10">
      <c r="A33">
        <v>31</v>
      </c>
      <c r="B33">
        <v>15</v>
      </c>
      <c r="C33" t="s">
        <v>35</v>
      </c>
      <c r="D33" t="s">
        <v>33</v>
      </c>
      <c r="E33">
        <v>1.17</v>
      </c>
      <c r="F33">
        <v>0.97</v>
      </c>
      <c r="G33">
        <f t="shared" si="1"/>
        <v>0.24499999999999988</v>
      </c>
      <c r="H33">
        <f t="shared" si="2"/>
        <v>4.4999999999999929E-2</v>
      </c>
      <c r="I33" s="29">
        <f t="shared" si="0"/>
        <v>5.4444444444444509</v>
      </c>
      <c r="J33" s="29">
        <f t="shared" si="3"/>
        <v>81.632653061224516</v>
      </c>
    </row>
    <row r="34" spans="1:10">
      <c r="A34">
        <v>32</v>
      </c>
      <c r="B34">
        <v>16</v>
      </c>
      <c r="C34" t="s">
        <v>35</v>
      </c>
      <c r="D34" t="s">
        <v>34</v>
      </c>
      <c r="E34">
        <v>1.54</v>
      </c>
      <c r="F34">
        <v>1</v>
      </c>
      <c r="G34">
        <f t="shared" si="1"/>
        <v>0.61499999999999999</v>
      </c>
      <c r="H34">
        <f t="shared" si="2"/>
        <v>7.4999999999999956E-2</v>
      </c>
      <c r="I34" s="29">
        <f t="shared" si="0"/>
        <v>8.2000000000000046</v>
      </c>
      <c r="J34" s="29">
        <f t="shared" si="3"/>
        <v>87.804878048780495</v>
      </c>
    </row>
    <row r="37" spans="1:10">
      <c r="A37" t="s">
        <v>64</v>
      </c>
      <c r="B37">
        <v>10.09</v>
      </c>
    </row>
    <row r="38" spans="1:10">
      <c r="A38" t="s">
        <v>65</v>
      </c>
      <c r="B38">
        <v>12.84</v>
      </c>
    </row>
    <row r="39" spans="1:10">
      <c r="A39" t="s">
        <v>66</v>
      </c>
      <c r="B39">
        <v>0.92500000000000004</v>
      </c>
    </row>
  </sheetData>
  <mergeCells count="11">
    <mergeCell ref="A1:A2"/>
    <mergeCell ref="B1:B2"/>
    <mergeCell ref="C1:C2"/>
    <mergeCell ref="D1:D2"/>
    <mergeCell ref="E1:E2"/>
    <mergeCell ref="M2:M3"/>
    <mergeCell ref="F1:F2"/>
    <mergeCell ref="G1:G2"/>
    <mergeCell ref="H1:H2"/>
    <mergeCell ref="I1:I2"/>
    <mergeCell ref="J1:J2"/>
  </mergeCells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D3A94-ECDB-41D2-AF64-5B1CCB77C838}">
  <dimension ref="A1:L34"/>
  <sheetViews>
    <sheetView zoomScale="85" zoomScaleNormal="85" workbookViewId="0">
      <selection activeCell="H3" sqref="H3"/>
    </sheetView>
  </sheetViews>
  <sheetFormatPr defaultColWidth="11.42578125" defaultRowHeight="15"/>
  <cols>
    <col min="5" max="6" width="16.140625" customWidth="1"/>
    <col min="7" max="7" width="15.28515625" bestFit="1" customWidth="1"/>
    <col min="11" max="11" width="14" customWidth="1"/>
  </cols>
  <sheetData>
    <row r="1" spans="1:12">
      <c r="A1" s="40" t="s">
        <v>67</v>
      </c>
      <c r="B1" s="40" t="s">
        <v>68</v>
      </c>
      <c r="C1" s="40" t="s">
        <v>57</v>
      </c>
      <c r="D1" s="40" t="s">
        <v>69</v>
      </c>
      <c r="E1" s="42" t="s">
        <v>70</v>
      </c>
      <c r="F1" s="43" t="s">
        <v>71</v>
      </c>
      <c r="G1" s="42" t="s">
        <v>6</v>
      </c>
      <c r="H1" s="40" t="s">
        <v>72</v>
      </c>
      <c r="I1" s="40" t="s">
        <v>73</v>
      </c>
      <c r="J1" s="42" t="s">
        <v>74</v>
      </c>
      <c r="K1" s="43" t="s">
        <v>45</v>
      </c>
      <c r="L1" s="42" t="s">
        <v>75</v>
      </c>
    </row>
    <row r="2" spans="1:12">
      <c r="A2" s="41"/>
      <c r="B2" s="41"/>
      <c r="C2" s="41"/>
      <c r="D2" s="41"/>
      <c r="E2" s="42"/>
      <c r="F2" s="44"/>
      <c r="G2" s="42"/>
      <c r="H2" s="41"/>
      <c r="I2" s="41"/>
      <c r="J2" s="42"/>
      <c r="K2" s="44"/>
      <c r="L2" s="42"/>
    </row>
    <row r="3" spans="1:12">
      <c r="A3" s="6">
        <v>1</v>
      </c>
      <c r="B3" s="6" t="s">
        <v>14</v>
      </c>
      <c r="C3" s="26" t="s">
        <v>59</v>
      </c>
      <c r="D3" s="26" t="s">
        <v>76</v>
      </c>
      <c r="E3" s="5">
        <v>11.33</v>
      </c>
      <c r="F3" s="25">
        <v>85.314685314685306</v>
      </c>
      <c r="G3" s="5">
        <v>1.8800000000000001</v>
      </c>
      <c r="H3" s="25">
        <v>27.386914825196367</v>
      </c>
      <c r="I3" s="25">
        <v>48.326400652231484</v>
      </c>
      <c r="J3" s="5">
        <v>8.8000000000000007</v>
      </c>
      <c r="K3" s="5">
        <v>0.83200000000000007</v>
      </c>
      <c r="L3" s="25">
        <v>1.3869259606988684</v>
      </c>
    </row>
    <row r="4" spans="1:12">
      <c r="A4" s="19">
        <v>2</v>
      </c>
      <c r="B4" s="19" t="s">
        <v>14</v>
      </c>
      <c r="C4" s="18" t="s">
        <v>61</v>
      </c>
      <c r="D4" s="18" t="s">
        <v>76</v>
      </c>
      <c r="E4" s="5">
        <v>8.2379999999999995</v>
      </c>
      <c r="F4" s="25">
        <v>83.11688311688313</v>
      </c>
      <c r="G4" s="5">
        <v>1.9600000000000002</v>
      </c>
      <c r="H4" s="25">
        <v>33.014448799948383</v>
      </c>
      <c r="I4" s="25">
        <v>48.453657240707848</v>
      </c>
      <c r="J4" s="5">
        <v>9.3000000000000007</v>
      </c>
      <c r="K4" s="5">
        <v>0.8832000000000001</v>
      </c>
      <c r="L4" s="25">
        <v>1.2366200654765778</v>
      </c>
    </row>
    <row r="5" spans="1:12">
      <c r="A5" s="19">
        <v>3</v>
      </c>
      <c r="B5" s="19" t="s">
        <v>14</v>
      </c>
      <c r="C5" s="18" t="s">
        <v>60</v>
      </c>
      <c r="D5" s="18" t="s">
        <v>77</v>
      </c>
      <c r="E5" s="5">
        <v>11.416</v>
      </c>
      <c r="F5" s="25">
        <v>86.614173228346459</v>
      </c>
      <c r="G5" s="5">
        <v>1.94</v>
      </c>
      <c r="H5" s="25">
        <v>25.831532108339776</v>
      </c>
      <c r="I5" s="25">
        <v>42.618476040327863</v>
      </c>
      <c r="J5" s="5">
        <v>9.9</v>
      </c>
      <c r="K5" s="5">
        <v>0.76800000000000013</v>
      </c>
      <c r="L5" s="25">
        <v>2.1435573463208111</v>
      </c>
    </row>
    <row r="6" spans="1:12">
      <c r="A6" s="19">
        <v>4</v>
      </c>
      <c r="B6" s="19" t="s">
        <v>14</v>
      </c>
      <c r="C6" s="18" t="s">
        <v>62</v>
      </c>
      <c r="D6" s="18" t="s">
        <v>77</v>
      </c>
      <c r="E6" s="5">
        <v>10.01</v>
      </c>
      <c r="F6" s="25">
        <v>89.65517241379311</v>
      </c>
      <c r="G6" s="5">
        <v>1.6199999999999999</v>
      </c>
      <c r="H6" s="25">
        <v>30.390011058639864</v>
      </c>
      <c r="I6" s="25">
        <v>43.844096523933523</v>
      </c>
      <c r="J6" s="5">
        <v>9.6</v>
      </c>
      <c r="K6" s="5">
        <v>0.89600000000000013</v>
      </c>
      <c r="L6" s="25">
        <v>2.4309699198064818</v>
      </c>
    </row>
    <row r="7" spans="1:12">
      <c r="A7" s="19">
        <v>5</v>
      </c>
      <c r="B7" s="19" t="s">
        <v>14</v>
      </c>
      <c r="C7" s="18" t="s">
        <v>61</v>
      </c>
      <c r="D7" s="18" t="s">
        <v>78</v>
      </c>
      <c r="E7" s="5">
        <v>9.0939999999999994</v>
      </c>
      <c r="F7" s="25">
        <v>91.089108910891099</v>
      </c>
      <c r="G7" s="5">
        <v>1.3599999999999999</v>
      </c>
      <c r="H7" s="25">
        <v>28.187554633693871</v>
      </c>
      <c r="I7" s="25">
        <v>46.278328621504905</v>
      </c>
      <c r="J7" s="5">
        <v>10.3</v>
      </c>
      <c r="K7" s="5">
        <v>0.81920000000000015</v>
      </c>
      <c r="L7" s="25">
        <v>2.5263186261408381</v>
      </c>
    </row>
    <row r="8" spans="1:12">
      <c r="A8" s="19">
        <v>6</v>
      </c>
      <c r="B8" s="19" t="s">
        <v>14</v>
      </c>
      <c r="C8" s="18" t="s">
        <v>59</v>
      </c>
      <c r="D8" s="18" t="s">
        <v>78</v>
      </c>
      <c r="E8" s="5">
        <v>9.2420000000000009</v>
      </c>
      <c r="F8" s="25">
        <v>86.956521739130451</v>
      </c>
      <c r="G8" s="5">
        <v>1.2</v>
      </c>
      <c r="H8" s="25">
        <v>25.90718916768509</v>
      </c>
      <c r="I8" s="25">
        <v>43.234988146176242</v>
      </c>
      <c r="J8" s="5">
        <v>10</v>
      </c>
      <c r="K8" s="5">
        <v>0.83200000000000007</v>
      </c>
      <c r="L8" s="25">
        <v>2.260778118952294</v>
      </c>
    </row>
    <row r="9" spans="1:12">
      <c r="A9" s="19">
        <v>7</v>
      </c>
      <c r="B9" s="19" t="s">
        <v>14</v>
      </c>
      <c r="C9" s="18" t="s">
        <v>62</v>
      </c>
      <c r="D9" s="18" t="s">
        <v>79</v>
      </c>
      <c r="E9" s="5">
        <v>8.370000000000001</v>
      </c>
      <c r="F9" s="25">
        <v>87.741935483870975</v>
      </c>
      <c r="G9" s="5">
        <v>1.44</v>
      </c>
      <c r="H9" s="25">
        <v>31.417360386806628</v>
      </c>
      <c r="I9" s="25">
        <v>48.957520362044484</v>
      </c>
      <c r="J9" s="5">
        <v>9.8000000000000007</v>
      </c>
      <c r="K9" s="5">
        <v>0.78079999999999994</v>
      </c>
      <c r="L9" s="25">
        <v>1.830904085894471</v>
      </c>
    </row>
    <row r="10" spans="1:12">
      <c r="A10" s="19">
        <v>8</v>
      </c>
      <c r="B10" s="19" t="s">
        <v>14</v>
      </c>
      <c r="C10" s="18" t="s">
        <v>60</v>
      </c>
      <c r="D10" s="18" t="s">
        <v>79</v>
      </c>
      <c r="E10" s="5">
        <v>10.757999999999999</v>
      </c>
      <c r="F10" s="25">
        <v>87.356321839080479</v>
      </c>
      <c r="G10" s="5">
        <v>1.5400000000000003</v>
      </c>
      <c r="H10" s="25">
        <v>25.079892284352436</v>
      </c>
      <c r="I10" s="25">
        <v>41.756944332649631</v>
      </c>
      <c r="J10" s="5">
        <v>9.5</v>
      </c>
      <c r="K10" s="5">
        <v>0.76800000000000013</v>
      </c>
      <c r="L10" s="25">
        <v>1.8620600375089977</v>
      </c>
    </row>
    <row r="11" spans="1:12">
      <c r="A11" s="19">
        <v>9</v>
      </c>
      <c r="B11" s="19" t="s">
        <v>14</v>
      </c>
      <c r="C11" s="18" t="s">
        <v>61</v>
      </c>
      <c r="D11" s="18" t="s">
        <v>79</v>
      </c>
      <c r="E11" s="5">
        <v>7.55</v>
      </c>
      <c r="F11" s="25">
        <v>92.307692307692335</v>
      </c>
      <c r="G11" s="5">
        <v>1.52</v>
      </c>
      <c r="H11" s="25">
        <v>27.288079169648082</v>
      </c>
      <c r="I11" s="25">
        <v>44.300033860032208</v>
      </c>
      <c r="J11" s="5">
        <v>9.8000000000000007</v>
      </c>
      <c r="K11" s="5">
        <v>0.80640000000000001</v>
      </c>
      <c r="L11" s="25">
        <v>3.8639456338023823</v>
      </c>
    </row>
    <row r="12" spans="1:12">
      <c r="A12" s="19">
        <v>10</v>
      </c>
      <c r="B12" s="19" t="s">
        <v>14</v>
      </c>
      <c r="C12" s="18" t="s">
        <v>59</v>
      </c>
      <c r="D12" s="18" t="s">
        <v>79</v>
      </c>
      <c r="E12" s="5">
        <v>11.877999999999998</v>
      </c>
      <c r="F12" s="25">
        <v>84.955752212389385</v>
      </c>
      <c r="G12" s="5">
        <v>1.5399999999999998</v>
      </c>
      <c r="H12" s="25">
        <v>26.272265948536045</v>
      </c>
      <c r="I12" s="25">
        <v>36.756965326316042</v>
      </c>
      <c r="J12" s="5">
        <v>9.6999999999999993</v>
      </c>
      <c r="K12" s="5">
        <v>0.83200000000000007</v>
      </c>
      <c r="L12" s="25">
        <v>2.4212813810233658</v>
      </c>
    </row>
    <row r="13" spans="1:12">
      <c r="A13" s="19">
        <v>11</v>
      </c>
      <c r="B13" s="19" t="s">
        <v>14</v>
      </c>
      <c r="C13" s="18" t="s">
        <v>60</v>
      </c>
      <c r="D13" s="18" t="s">
        <v>78</v>
      </c>
      <c r="E13" s="5">
        <v>11.256</v>
      </c>
      <c r="F13" s="25">
        <v>91.089108910891099</v>
      </c>
      <c r="G13" s="5">
        <v>1.1000000000000001</v>
      </c>
      <c r="H13" s="25">
        <v>31.549007750118481</v>
      </c>
      <c r="I13" s="25">
        <v>46.843852318100396</v>
      </c>
      <c r="J13" s="5">
        <v>9.5</v>
      </c>
      <c r="K13" s="5">
        <v>0.85760000000000003</v>
      </c>
      <c r="L13" s="25">
        <v>2.8120062966836392</v>
      </c>
    </row>
    <row r="14" spans="1:12">
      <c r="A14" s="19">
        <v>12</v>
      </c>
      <c r="B14" s="19" t="s">
        <v>14</v>
      </c>
      <c r="C14" s="18" t="s">
        <v>62</v>
      </c>
      <c r="D14" s="18" t="s">
        <v>78</v>
      </c>
      <c r="E14" s="5">
        <v>8.3800000000000008</v>
      </c>
      <c r="F14" s="25">
        <v>95.652173913043498</v>
      </c>
      <c r="G14" s="5">
        <v>1.18</v>
      </c>
      <c r="H14" s="25">
        <v>25.586263342801338</v>
      </c>
      <c r="I14" s="25">
        <v>45.291457251892439</v>
      </c>
      <c r="J14" s="5">
        <v>8.6999999999999993</v>
      </c>
      <c r="K14" s="5">
        <v>0.80640000000000001</v>
      </c>
      <c r="L14" s="25">
        <v>4.9716151137613736</v>
      </c>
    </row>
    <row r="15" spans="1:12">
      <c r="A15" s="19">
        <v>13</v>
      </c>
      <c r="B15" s="19" t="s">
        <v>14</v>
      </c>
      <c r="C15" s="18" t="s">
        <v>59</v>
      </c>
      <c r="D15" s="18" t="s">
        <v>77</v>
      </c>
      <c r="E15" s="5">
        <v>10.206</v>
      </c>
      <c r="F15" s="25">
        <v>87.058823529411782</v>
      </c>
      <c r="G15" s="5">
        <v>1.2600000000000002</v>
      </c>
      <c r="H15" s="25">
        <v>32.614014877073465</v>
      </c>
      <c r="I15" s="25">
        <v>44.306171127733435</v>
      </c>
      <c r="J15" s="5">
        <v>10.199999999999999</v>
      </c>
      <c r="K15" s="5">
        <v>0.84480000000000011</v>
      </c>
      <c r="L15" s="25">
        <v>1.5341689692253908</v>
      </c>
    </row>
    <row r="16" spans="1:12">
      <c r="A16" s="19">
        <v>14</v>
      </c>
      <c r="B16" s="19" t="s">
        <v>14</v>
      </c>
      <c r="C16" s="18" t="s">
        <v>61</v>
      </c>
      <c r="D16" s="18" t="s">
        <v>77</v>
      </c>
      <c r="E16" s="5">
        <v>11.414000000000001</v>
      </c>
      <c r="F16" s="25">
        <v>91.588785046728987</v>
      </c>
      <c r="G16" s="5">
        <v>1.2200000000000002</v>
      </c>
      <c r="H16" s="25">
        <v>29.017606691130304</v>
      </c>
      <c r="I16" s="25">
        <v>42.116906344127415</v>
      </c>
      <c r="J16" s="5">
        <v>10.7</v>
      </c>
      <c r="K16" s="5">
        <v>0.85760000000000003</v>
      </c>
      <c r="L16" s="25">
        <v>3.4981824673674313</v>
      </c>
    </row>
    <row r="17" spans="1:12">
      <c r="A17" s="19">
        <v>15</v>
      </c>
      <c r="B17" s="19" t="s">
        <v>14</v>
      </c>
      <c r="C17" s="18" t="s">
        <v>62</v>
      </c>
      <c r="D17" s="18" t="s">
        <v>76</v>
      </c>
      <c r="E17" s="5">
        <v>10.219999999999999</v>
      </c>
      <c r="F17" s="25">
        <v>95.555555555555543</v>
      </c>
      <c r="G17" s="5">
        <v>1.1000000000000001</v>
      </c>
      <c r="H17" s="25">
        <v>26.330461428645211</v>
      </c>
      <c r="I17" s="25">
        <v>41.506241699291451</v>
      </c>
      <c r="J17" s="5">
        <v>8.9</v>
      </c>
      <c r="K17" s="5">
        <v>0.84480000000000011</v>
      </c>
      <c r="L17" s="25">
        <v>4.7627919022478391</v>
      </c>
    </row>
    <row r="18" spans="1:12">
      <c r="A18" s="19">
        <v>16</v>
      </c>
      <c r="B18" s="19" t="s">
        <v>14</v>
      </c>
      <c r="C18" s="18" t="s">
        <v>60</v>
      </c>
      <c r="D18" s="18" t="s">
        <v>76</v>
      </c>
      <c r="E18" s="5">
        <v>10.012</v>
      </c>
      <c r="F18" s="25">
        <v>88.659793814433002</v>
      </c>
      <c r="G18" s="5">
        <v>1.2600000000000002</v>
      </c>
      <c r="H18" s="25">
        <v>26.360261733190054</v>
      </c>
      <c r="I18" s="25">
        <v>33.782730795481882</v>
      </c>
      <c r="J18" s="5">
        <v>8.3000000000000007</v>
      </c>
      <c r="K18" s="5">
        <v>0.74239999999999995</v>
      </c>
      <c r="L18" s="25">
        <v>1.8622218576678096</v>
      </c>
    </row>
    <row r="19" spans="1:12">
      <c r="A19" s="18">
        <v>1</v>
      </c>
      <c r="B19" s="19" t="s">
        <v>35</v>
      </c>
      <c r="C19" s="18" t="s">
        <v>59</v>
      </c>
      <c r="D19" s="18" t="s">
        <v>76</v>
      </c>
      <c r="E19" s="5">
        <v>9.282</v>
      </c>
      <c r="F19" s="25">
        <v>84.848484848484844</v>
      </c>
      <c r="G19" s="5">
        <v>1.3800000000000001</v>
      </c>
      <c r="H19" s="25">
        <v>34.605505232513373</v>
      </c>
      <c r="I19" s="25">
        <v>55.377241715347289</v>
      </c>
      <c r="J19" s="5">
        <v>9.8000000000000007</v>
      </c>
      <c r="K19" s="5">
        <v>0.89600000000000013</v>
      </c>
      <c r="L19" s="25">
        <v>2.07382119973032</v>
      </c>
    </row>
    <row r="20" spans="1:12">
      <c r="A20" s="19">
        <v>2</v>
      </c>
      <c r="B20" s="19" t="s">
        <v>35</v>
      </c>
      <c r="C20" s="18" t="s">
        <v>61</v>
      </c>
      <c r="D20" s="18" t="s">
        <v>76</v>
      </c>
      <c r="E20" s="5">
        <v>10.674000000000001</v>
      </c>
      <c r="F20" s="25">
        <v>85.925925925925924</v>
      </c>
      <c r="G20" s="5">
        <v>1.3399999999999999</v>
      </c>
      <c r="H20" s="25">
        <v>34.430008779172908</v>
      </c>
      <c r="I20" s="25">
        <v>55.624427188061901</v>
      </c>
      <c r="J20" s="5">
        <v>9</v>
      </c>
      <c r="K20" s="5">
        <v>0.83200000000000007</v>
      </c>
      <c r="L20" s="25">
        <v>2.6328622274410587</v>
      </c>
    </row>
    <row r="21" spans="1:12">
      <c r="A21" s="19">
        <v>3</v>
      </c>
      <c r="B21" s="19" t="s">
        <v>35</v>
      </c>
      <c r="C21" s="18" t="s">
        <v>60</v>
      </c>
      <c r="D21" s="18" t="s">
        <v>77</v>
      </c>
      <c r="E21" s="5">
        <v>11.36</v>
      </c>
      <c r="F21" s="25">
        <v>90.434782608695656</v>
      </c>
      <c r="G21" s="5">
        <v>1.36</v>
      </c>
      <c r="H21" s="25">
        <v>26.1036260956839</v>
      </c>
      <c r="I21" s="25">
        <v>46.091327817714259</v>
      </c>
      <c r="J21" s="5">
        <v>11.3</v>
      </c>
      <c r="K21" s="5">
        <v>0.96000000000000008</v>
      </c>
      <c r="L21" s="25">
        <v>3.705919411523936</v>
      </c>
    </row>
    <row r="22" spans="1:12">
      <c r="A22" s="19">
        <v>4</v>
      </c>
      <c r="B22" s="19" t="s">
        <v>35</v>
      </c>
      <c r="C22" s="18" t="s">
        <v>62</v>
      </c>
      <c r="D22" s="18" t="s">
        <v>77</v>
      </c>
      <c r="E22" s="5">
        <v>9.3740000000000006</v>
      </c>
      <c r="F22" s="25">
        <v>87.640449438202268</v>
      </c>
      <c r="G22" s="5">
        <v>1.32</v>
      </c>
      <c r="H22" s="25">
        <v>26.674328279142447</v>
      </c>
      <c r="I22" s="25">
        <v>44.551499413599991</v>
      </c>
      <c r="J22" s="5">
        <v>10.3</v>
      </c>
      <c r="K22" s="5">
        <v>0.83200000000000007</v>
      </c>
      <c r="L22" s="25">
        <v>2.4790026185814362</v>
      </c>
    </row>
    <row r="23" spans="1:12">
      <c r="A23" s="19">
        <v>5</v>
      </c>
      <c r="B23" s="19" t="s">
        <v>35</v>
      </c>
      <c r="C23" s="18" t="s">
        <v>61</v>
      </c>
      <c r="D23" s="18" t="s">
        <v>78</v>
      </c>
      <c r="E23" s="5">
        <v>12.132000000000001</v>
      </c>
      <c r="F23" s="25">
        <v>82.051282051282044</v>
      </c>
      <c r="G23" s="5">
        <v>1.5</v>
      </c>
      <c r="H23" s="25">
        <v>27.423463103786233</v>
      </c>
      <c r="I23" s="25">
        <v>42.6868562909006</v>
      </c>
      <c r="J23" s="5">
        <v>11.2</v>
      </c>
      <c r="K23" s="5">
        <v>0.81920000000000015</v>
      </c>
      <c r="L23" s="25">
        <v>2.0304952613788672</v>
      </c>
    </row>
    <row r="24" spans="1:12">
      <c r="A24" s="19">
        <v>6</v>
      </c>
      <c r="B24" s="19" t="s">
        <v>35</v>
      </c>
      <c r="C24" s="18" t="s">
        <v>59</v>
      </c>
      <c r="D24" s="18" t="s">
        <v>78</v>
      </c>
      <c r="E24" s="5">
        <v>13.1</v>
      </c>
      <c r="F24" s="25">
        <v>87.179487179487197</v>
      </c>
      <c r="G24" s="5">
        <v>1.3800000000000001</v>
      </c>
      <c r="H24" s="25">
        <v>30.184549162349235</v>
      </c>
      <c r="I24" s="25">
        <v>40.732965764844572</v>
      </c>
      <c r="J24" s="5">
        <v>10.5</v>
      </c>
      <c r="K24" s="5">
        <v>0.97280000000000011</v>
      </c>
      <c r="L24" s="25">
        <v>2.6436122613816844</v>
      </c>
    </row>
    <row r="25" spans="1:12">
      <c r="A25" s="19">
        <v>7</v>
      </c>
      <c r="B25" s="19" t="s">
        <v>35</v>
      </c>
      <c r="C25" s="18" t="s">
        <v>62</v>
      </c>
      <c r="D25" s="18" t="s">
        <v>79</v>
      </c>
      <c r="E25" s="5">
        <v>12.569999999999999</v>
      </c>
      <c r="F25" s="25">
        <v>86.021505376344095</v>
      </c>
      <c r="G25" s="5">
        <v>2.06</v>
      </c>
      <c r="H25" s="25" t="s">
        <v>36</v>
      </c>
      <c r="I25" s="25" t="s">
        <v>36</v>
      </c>
      <c r="J25" s="5">
        <v>10.1</v>
      </c>
      <c r="K25" s="5">
        <v>0.87039999999999995</v>
      </c>
      <c r="L25" s="25">
        <v>2.6226960901190166</v>
      </c>
    </row>
    <row r="26" spans="1:12">
      <c r="A26" s="19">
        <v>8</v>
      </c>
      <c r="B26" s="19" t="s">
        <v>35</v>
      </c>
      <c r="C26" s="18" t="s">
        <v>60</v>
      </c>
      <c r="D26" s="18" t="s">
        <v>79</v>
      </c>
      <c r="E26" s="5">
        <v>9.984</v>
      </c>
      <c r="F26" s="25">
        <v>87.074829931972786</v>
      </c>
      <c r="G26" s="5">
        <v>1.64</v>
      </c>
      <c r="H26" s="25">
        <v>36.272342451979959</v>
      </c>
      <c r="I26" s="25">
        <v>41.614263179828136</v>
      </c>
      <c r="J26" s="5">
        <v>10</v>
      </c>
      <c r="K26" s="5">
        <v>0.80640000000000001</v>
      </c>
      <c r="L26" s="25">
        <v>2.689542547073672</v>
      </c>
    </row>
    <row r="27" spans="1:12">
      <c r="A27" s="19">
        <v>9</v>
      </c>
      <c r="B27" s="19" t="s">
        <v>35</v>
      </c>
      <c r="C27" s="18" t="s">
        <v>61</v>
      </c>
      <c r="D27" s="18" t="s">
        <v>79</v>
      </c>
      <c r="E27" s="5">
        <v>6.7379999999999995</v>
      </c>
      <c r="F27" s="25">
        <v>86.956521739130437</v>
      </c>
      <c r="G27" s="5">
        <v>1.8199999999999998</v>
      </c>
      <c r="H27" s="25">
        <v>34.729646509571531</v>
      </c>
      <c r="I27" s="25">
        <v>49.376444788988195</v>
      </c>
      <c r="J27" s="5">
        <v>10.8</v>
      </c>
      <c r="K27" s="5">
        <v>0.84480000000000011</v>
      </c>
      <c r="L27" s="25">
        <v>3.0655554329931629</v>
      </c>
    </row>
    <row r="28" spans="1:12">
      <c r="A28" s="19">
        <v>10</v>
      </c>
      <c r="B28" s="19" t="s">
        <v>35</v>
      </c>
      <c r="C28" s="18" t="s">
        <v>59</v>
      </c>
      <c r="D28" s="18" t="s">
        <v>79</v>
      </c>
      <c r="E28" s="5">
        <v>11.36</v>
      </c>
      <c r="F28" s="25">
        <v>83.185840707964616</v>
      </c>
      <c r="G28" s="5">
        <v>1.56</v>
      </c>
      <c r="H28" s="25">
        <v>22.279814593367444</v>
      </c>
      <c r="I28" s="25">
        <v>39.142227836442828</v>
      </c>
      <c r="J28" s="5">
        <v>10.4</v>
      </c>
      <c r="K28" s="5">
        <v>0.85760000000000003</v>
      </c>
      <c r="L28" s="25">
        <v>2.3538149769902068</v>
      </c>
    </row>
    <row r="29" spans="1:12">
      <c r="A29" s="19">
        <v>11</v>
      </c>
      <c r="B29" s="19" t="s">
        <v>35</v>
      </c>
      <c r="C29" s="18" t="s">
        <v>60</v>
      </c>
      <c r="D29" s="18" t="s">
        <v>78</v>
      </c>
      <c r="E29" s="5">
        <v>8.8640000000000008</v>
      </c>
      <c r="F29" s="25">
        <v>86.4</v>
      </c>
      <c r="G29" s="5">
        <v>1.6199999999999999</v>
      </c>
      <c r="H29" s="25">
        <v>27.815510817596447</v>
      </c>
      <c r="I29" s="25">
        <v>39.346278095901269</v>
      </c>
      <c r="J29" s="5">
        <v>10.199999999999999</v>
      </c>
      <c r="K29" s="5">
        <v>0.8832000000000001</v>
      </c>
      <c r="L29" s="25">
        <v>3.0139290808593264</v>
      </c>
    </row>
    <row r="30" spans="1:12">
      <c r="A30" s="19">
        <v>12</v>
      </c>
      <c r="B30" s="19" t="s">
        <v>35</v>
      </c>
      <c r="C30" s="18" t="s">
        <v>62</v>
      </c>
      <c r="D30" s="18" t="s">
        <v>78</v>
      </c>
      <c r="E30" s="5">
        <v>11.097999999999999</v>
      </c>
      <c r="F30" s="25">
        <v>88.659793814433002</v>
      </c>
      <c r="G30" s="5">
        <v>1.8</v>
      </c>
      <c r="H30" s="25">
        <v>36.243475900228333</v>
      </c>
      <c r="I30" s="25">
        <v>47.562842640027313</v>
      </c>
      <c r="J30" s="5">
        <v>11.6</v>
      </c>
      <c r="K30" s="5">
        <v>0.94720000000000015</v>
      </c>
      <c r="L30" s="25">
        <v>3.4114351979971627</v>
      </c>
    </row>
    <row r="31" spans="1:12">
      <c r="A31" s="19">
        <v>13</v>
      </c>
      <c r="B31" s="19" t="s">
        <v>35</v>
      </c>
      <c r="C31" s="18" t="s">
        <v>59</v>
      </c>
      <c r="D31" s="18" t="s">
        <v>77</v>
      </c>
      <c r="E31" s="5">
        <v>12.898</v>
      </c>
      <c r="F31" s="25">
        <v>86.131386861313871</v>
      </c>
      <c r="G31" s="5">
        <v>1.8</v>
      </c>
      <c r="H31" s="25">
        <v>29.113435066558257</v>
      </c>
      <c r="I31" s="25">
        <v>39.72949785738551</v>
      </c>
      <c r="J31" s="5">
        <v>11</v>
      </c>
      <c r="K31" s="5">
        <v>0.81920000000000015</v>
      </c>
      <c r="L31" s="25">
        <v>2.5446032994040539</v>
      </c>
    </row>
    <row r="32" spans="1:12">
      <c r="A32" s="19">
        <v>14</v>
      </c>
      <c r="B32" s="19" t="s">
        <v>35</v>
      </c>
      <c r="C32" s="18" t="s">
        <v>61</v>
      </c>
      <c r="D32" s="18" t="s">
        <v>77</v>
      </c>
      <c r="E32" s="5">
        <v>9.3460000000000001</v>
      </c>
      <c r="F32" s="25">
        <v>82.352941176470608</v>
      </c>
      <c r="G32" s="5">
        <v>1.7400000000000002</v>
      </c>
      <c r="H32" s="25">
        <v>26.410097008012205</v>
      </c>
      <c r="I32" s="25">
        <v>47.954889218931577</v>
      </c>
      <c r="J32" s="5">
        <v>10.5</v>
      </c>
      <c r="K32" s="5">
        <v>0.76800000000000013</v>
      </c>
      <c r="L32" s="25">
        <v>1.7648129503100285</v>
      </c>
    </row>
    <row r="33" spans="1:12">
      <c r="A33" s="19">
        <v>15</v>
      </c>
      <c r="B33" s="19" t="s">
        <v>35</v>
      </c>
      <c r="C33" s="18" t="s">
        <v>62</v>
      </c>
      <c r="D33" s="18" t="s">
        <v>76</v>
      </c>
      <c r="E33" s="5">
        <v>8.6180000000000003</v>
      </c>
      <c r="F33" s="25">
        <v>81.632653061224516</v>
      </c>
      <c r="G33" s="5">
        <v>1.44</v>
      </c>
      <c r="H33" s="25">
        <v>28.479107810996485</v>
      </c>
      <c r="I33" s="25">
        <v>46.997065865860179</v>
      </c>
      <c r="J33" s="5">
        <v>10.4</v>
      </c>
      <c r="K33" s="5">
        <v>0.70400000000000007</v>
      </c>
      <c r="L33" s="25">
        <v>1.983634797058059</v>
      </c>
    </row>
    <row r="34" spans="1:12">
      <c r="A34" s="19">
        <v>16</v>
      </c>
      <c r="B34" s="19" t="s">
        <v>35</v>
      </c>
      <c r="C34" s="18" t="s">
        <v>60</v>
      </c>
      <c r="D34" s="18" t="s">
        <v>76</v>
      </c>
      <c r="E34" s="5">
        <v>9.5739999999999998</v>
      </c>
      <c r="F34" s="25">
        <v>87.804878048780495</v>
      </c>
      <c r="G34" s="5">
        <v>1.24</v>
      </c>
      <c r="H34" s="25">
        <v>29.590611128368952</v>
      </c>
      <c r="I34" s="25">
        <v>47.448419362503529</v>
      </c>
      <c r="J34" s="5">
        <v>10.7</v>
      </c>
      <c r="K34" s="5">
        <v>0.80640000000000001</v>
      </c>
      <c r="L34" s="25">
        <v>2.2351001513665931</v>
      </c>
    </row>
  </sheetData>
  <mergeCells count="12">
    <mergeCell ref="A1:A2"/>
    <mergeCell ref="B1:B2"/>
    <mergeCell ref="C1:C2"/>
    <mergeCell ref="E1:E2"/>
    <mergeCell ref="G1:G2"/>
    <mergeCell ref="F1:F2"/>
    <mergeCell ref="L1:L2"/>
    <mergeCell ref="I1:I2"/>
    <mergeCell ref="J1:J2"/>
    <mergeCell ref="D1:D2"/>
    <mergeCell ref="K1:K2"/>
    <mergeCell ref="H1:H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D428F-06C1-4836-8438-5CA97E823BA0}">
  <dimension ref="A1:J9"/>
  <sheetViews>
    <sheetView workbookViewId="0">
      <selection activeCell="E2" sqref="E2"/>
    </sheetView>
  </sheetViews>
  <sheetFormatPr defaultColWidth="11.42578125" defaultRowHeight="15"/>
  <cols>
    <col min="3" max="3" width="18.28515625" customWidth="1"/>
    <col min="4" max="4" width="16.28515625" customWidth="1"/>
    <col min="5" max="5" width="14.42578125" customWidth="1"/>
    <col min="6" max="6" width="14.140625" customWidth="1"/>
    <col min="7" max="7" width="14.5703125" customWidth="1"/>
    <col min="8" max="8" width="12.140625" customWidth="1"/>
    <col min="10" max="10" width="19.7109375" customWidth="1"/>
  </cols>
  <sheetData>
    <row r="1" spans="1:10" ht="16.5">
      <c r="A1" s="35"/>
      <c r="B1" s="36" t="s">
        <v>80</v>
      </c>
      <c r="C1" s="36" t="s">
        <v>81</v>
      </c>
      <c r="D1" s="36" t="s">
        <v>82</v>
      </c>
      <c r="E1" s="36" t="s">
        <v>83</v>
      </c>
      <c r="F1" s="36" t="s">
        <v>73</v>
      </c>
      <c r="G1" s="36" t="s">
        <v>43</v>
      </c>
      <c r="H1" s="36" t="s">
        <v>84</v>
      </c>
      <c r="I1" s="36" t="s">
        <v>85</v>
      </c>
      <c r="J1" s="36" t="s">
        <v>86</v>
      </c>
    </row>
    <row r="2" spans="1:10">
      <c r="A2" s="63" t="s">
        <v>87</v>
      </c>
      <c r="B2" s="35" t="s">
        <v>88</v>
      </c>
      <c r="C2" s="35" t="s">
        <v>89</v>
      </c>
      <c r="D2" s="35" t="s">
        <v>90</v>
      </c>
      <c r="E2" s="35" t="s">
        <v>91</v>
      </c>
      <c r="F2" s="35" t="s">
        <v>92</v>
      </c>
      <c r="G2" s="35" t="s">
        <v>93</v>
      </c>
      <c r="H2" s="35" t="s">
        <v>94</v>
      </c>
      <c r="I2" s="35" t="s">
        <v>95</v>
      </c>
      <c r="J2" s="35" t="s">
        <v>96</v>
      </c>
    </row>
    <row r="3" spans="1:10">
      <c r="A3" s="63"/>
      <c r="B3" s="35" t="s">
        <v>97</v>
      </c>
      <c r="C3" s="35" t="s">
        <v>98</v>
      </c>
      <c r="D3" s="35" t="s">
        <v>99</v>
      </c>
      <c r="E3" s="35" t="s">
        <v>100</v>
      </c>
      <c r="F3" s="35" t="s">
        <v>101</v>
      </c>
      <c r="G3" s="35" t="s">
        <v>102</v>
      </c>
      <c r="H3" s="35" t="s">
        <v>103</v>
      </c>
      <c r="I3" s="35" t="s">
        <v>104</v>
      </c>
      <c r="J3" s="35" t="s">
        <v>105</v>
      </c>
    </row>
    <row r="4" spans="1:10">
      <c r="A4" s="63"/>
      <c r="B4" s="35" t="s">
        <v>106</v>
      </c>
      <c r="C4" s="35" t="s">
        <v>107</v>
      </c>
      <c r="D4" s="35" t="s">
        <v>108</v>
      </c>
      <c r="E4" s="35" t="s">
        <v>109</v>
      </c>
      <c r="F4" s="35" t="s">
        <v>110</v>
      </c>
      <c r="G4" s="35" t="s">
        <v>111</v>
      </c>
      <c r="H4" s="35" t="s">
        <v>112</v>
      </c>
      <c r="I4" s="35" t="s">
        <v>113</v>
      </c>
      <c r="J4" s="35" t="s">
        <v>114</v>
      </c>
    </row>
    <row r="5" spans="1:10">
      <c r="A5" s="64"/>
      <c r="B5" s="37" t="s">
        <v>115</v>
      </c>
      <c r="C5" s="37" t="s">
        <v>116</v>
      </c>
      <c r="D5" s="37" t="s">
        <v>117</v>
      </c>
      <c r="E5" s="37" t="s">
        <v>118</v>
      </c>
      <c r="F5" s="37" t="s">
        <v>119</v>
      </c>
      <c r="G5" s="37" t="s">
        <v>120</v>
      </c>
      <c r="H5" s="37" t="s">
        <v>112</v>
      </c>
      <c r="I5" s="37" t="s">
        <v>121</v>
      </c>
      <c r="J5" s="37" t="s">
        <v>122</v>
      </c>
    </row>
    <row r="6" spans="1:10">
      <c r="A6" s="63" t="s">
        <v>123</v>
      </c>
      <c r="B6" s="35" t="s">
        <v>88</v>
      </c>
      <c r="C6" s="35" t="s">
        <v>124</v>
      </c>
      <c r="D6" s="35" t="s">
        <v>125</v>
      </c>
      <c r="E6" s="35" t="s">
        <v>126</v>
      </c>
      <c r="F6" s="35" t="s">
        <v>127</v>
      </c>
      <c r="G6" s="35" t="s">
        <v>128</v>
      </c>
      <c r="H6" s="35" t="s">
        <v>129</v>
      </c>
      <c r="I6" s="35" t="s">
        <v>130</v>
      </c>
      <c r="J6" s="35" t="s">
        <v>131</v>
      </c>
    </row>
    <row r="7" spans="1:10">
      <c r="A7" s="63"/>
      <c r="B7" s="35" t="s">
        <v>97</v>
      </c>
      <c r="C7" s="35" t="s">
        <v>132</v>
      </c>
      <c r="D7" s="35" t="s">
        <v>133</v>
      </c>
      <c r="E7" s="35" t="s">
        <v>134</v>
      </c>
      <c r="F7" s="35" t="s">
        <v>135</v>
      </c>
      <c r="G7" s="35" t="s">
        <v>136</v>
      </c>
      <c r="H7" s="35" t="s">
        <v>137</v>
      </c>
      <c r="I7" s="35" t="s">
        <v>138</v>
      </c>
      <c r="J7" s="35" t="s">
        <v>139</v>
      </c>
    </row>
    <row r="8" spans="1:10">
      <c r="A8" s="63"/>
      <c r="B8" s="35" t="s">
        <v>106</v>
      </c>
      <c r="C8" s="35" t="s">
        <v>140</v>
      </c>
      <c r="D8" s="35" t="s">
        <v>141</v>
      </c>
      <c r="E8" s="35" t="s">
        <v>142</v>
      </c>
      <c r="F8" s="35" t="s">
        <v>143</v>
      </c>
      <c r="G8" s="35" t="s">
        <v>144</v>
      </c>
      <c r="H8" s="35" t="s">
        <v>145</v>
      </c>
      <c r="I8" s="35" t="s">
        <v>146</v>
      </c>
      <c r="J8" s="35" t="s">
        <v>147</v>
      </c>
    </row>
    <row r="9" spans="1:10">
      <c r="A9" s="63"/>
      <c r="B9" s="35" t="s">
        <v>115</v>
      </c>
      <c r="C9" s="35" t="s">
        <v>148</v>
      </c>
      <c r="D9" s="35" t="s">
        <v>149</v>
      </c>
      <c r="E9" s="35" t="s">
        <v>150</v>
      </c>
      <c r="F9" s="35" t="s">
        <v>151</v>
      </c>
      <c r="G9" s="35" t="s">
        <v>152</v>
      </c>
      <c r="H9" s="35" t="s">
        <v>153</v>
      </c>
      <c r="I9" s="35" t="s">
        <v>154</v>
      </c>
      <c r="J9" s="35" t="s">
        <v>155</v>
      </c>
    </row>
  </sheetData>
  <mergeCells count="2">
    <mergeCell ref="A2:A5"/>
    <mergeCell ref="A6:A9"/>
  </mergeCells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4D8E28-5AED-48E6-9F86-67D2399666B9}">
  <dimension ref="A1:S33"/>
  <sheetViews>
    <sheetView workbookViewId="0">
      <selection activeCell="O25" sqref="O25"/>
    </sheetView>
  </sheetViews>
  <sheetFormatPr defaultColWidth="11.42578125" defaultRowHeight="15"/>
  <cols>
    <col min="5" max="6" width="16.140625" customWidth="1"/>
    <col min="7" max="7" width="15.28515625" bestFit="1" customWidth="1"/>
    <col min="11" max="11" width="14" customWidth="1"/>
    <col min="19" max="19" width="11.85546875" bestFit="1" customWidth="1"/>
  </cols>
  <sheetData>
    <row r="1" spans="1:19">
      <c r="A1" s="33" t="s">
        <v>67</v>
      </c>
      <c r="B1" s="33" t="s">
        <v>68</v>
      </c>
      <c r="C1" s="33" t="s">
        <v>57</v>
      </c>
      <c r="D1" s="33" t="s">
        <v>69</v>
      </c>
      <c r="E1" s="32" t="s">
        <v>70</v>
      </c>
      <c r="F1" s="34" t="s">
        <v>71</v>
      </c>
      <c r="G1" s="32" t="s">
        <v>6</v>
      </c>
      <c r="H1" s="33" t="s">
        <v>72</v>
      </c>
      <c r="I1" s="33" t="s">
        <v>73</v>
      </c>
      <c r="J1" s="32" t="s">
        <v>74</v>
      </c>
      <c r="K1" s="34" t="s">
        <v>45</v>
      </c>
      <c r="L1" s="32" t="s">
        <v>75</v>
      </c>
      <c r="M1" s="32" t="s">
        <v>156</v>
      </c>
      <c r="N1" s="32" t="s">
        <v>157</v>
      </c>
      <c r="O1" s="32" t="s">
        <v>158</v>
      </c>
      <c r="P1" s="32" t="s">
        <v>159</v>
      </c>
      <c r="Q1" s="32" t="s">
        <v>160</v>
      </c>
      <c r="R1" s="32" t="s">
        <v>161</v>
      </c>
      <c r="S1" s="32" t="s">
        <v>162</v>
      </c>
    </row>
    <row r="2" spans="1:19">
      <c r="A2" s="6">
        <v>1</v>
      </c>
      <c r="B2" s="6" t="s">
        <v>14</v>
      </c>
      <c r="C2" s="26" t="s">
        <v>59</v>
      </c>
      <c r="D2" s="26" t="s">
        <v>76</v>
      </c>
      <c r="E2" s="5">
        <v>11.33</v>
      </c>
      <c r="F2" s="25">
        <v>85.314685314685306</v>
      </c>
      <c r="G2" s="5">
        <v>1.8800000000000001</v>
      </c>
      <c r="H2" s="25">
        <v>27.386914825196367</v>
      </c>
      <c r="I2" s="25">
        <v>48.326400652231484</v>
      </c>
      <c r="J2" s="5">
        <v>8.8000000000000007</v>
      </c>
      <c r="K2" s="5">
        <v>0.83200000000000007</v>
      </c>
      <c r="L2" s="25">
        <v>1.3869259606988684</v>
      </c>
      <c r="M2" s="25">
        <v>0.46736719473357502</v>
      </c>
      <c r="N2" s="25">
        <v>0.30850833816631529</v>
      </c>
      <c r="O2" s="25">
        <v>34.151105928887475</v>
      </c>
      <c r="P2" s="5">
        <v>50.149877351793641</v>
      </c>
      <c r="Q2" s="5">
        <v>0</v>
      </c>
      <c r="R2" s="5">
        <v>2.4968679359668791</v>
      </c>
      <c r="S2" s="5">
        <v>52.646745287760524</v>
      </c>
    </row>
    <row r="3" spans="1:19">
      <c r="A3" s="19">
        <v>2</v>
      </c>
      <c r="B3" s="19" t="s">
        <v>14</v>
      </c>
      <c r="C3" s="18" t="s">
        <v>61</v>
      </c>
      <c r="D3" s="18" t="s">
        <v>76</v>
      </c>
      <c r="E3" s="5">
        <v>8.2379999999999995</v>
      </c>
      <c r="F3" s="25">
        <v>83.11688311688313</v>
      </c>
      <c r="G3" s="5">
        <v>1.9600000000000002</v>
      </c>
      <c r="H3" s="25">
        <v>33.014448799948383</v>
      </c>
      <c r="I3" s="25">
        <v>48.453657240707848</v>
      </c>
      <c r="J3" s="5">
        <v>9.3000000000000007</v>
      </c>
      <c r="K3" s="5">
        <v>0.8832000000000001</v>
      </c>
      <c r="L3" s="25">
        <v>1.2366200654765778</v>
      </c>
      <c r="M3" s="25">
        <v>0.52433851734277481</v>
      </c>
      <c r="N3" s="25">
        <v>0.34396430461015576</v>
      </c>
      <c r="O3" s="25">
        <v>34.105700774324099</v>
      </c>
      <c r="P3" s="5">
        <v>34.679071006915109</v>
      </c>
      <c r="Q3" s="5">
        <v>0</v>
      </c>
      <c r="R3" s="5">
        <v>1.7774180867974756</v>
      </c>
      <c r="S3" s="5">
        <v>36.456489093712584</v>
      </c>
    </row>
    <row r="4" spans="1:19">
      <c r="A4" s="19">
        <v>3</v>
      </c>
      <c r="B4" s="19" t="s">
        <v>14</v>
      </c>
      <c r="C4" s="18" t="s">
        <v>60</v>
      </c>
      <c r="D4" s="18" t="s">
        <v>77</v>
      </c>
      <c r="E4" s="5">
        <v>11.416</v>
      </c>
      <c r="F4" s="25">
        <v>86.614173228346459</v>
      </c>
      <c r="G4" s="5">
        <v>1.94</v>
      </c>
      <c r="H4" s="25">
        <v>25.831532108339776</v>
      </c>
      <c r="I4" s="25">
        <v>42.618476040327863</v>
      </c>
      <c r="J4" s="5">
        <v>9.9</v>
      </c>
      <c r="K4" s="5">
        <v>0.76800000000000013</v>
      </c>
      <c r="L4" s="25">
        <v>2.1435573463208111</v>
      </c>
      <c r="M4" s="25">
        <v>0.48401236734735348</v>
      </c>
      <c r="N4" s="25">
        <v>0.32269536695054024</v>
      </c>
      <c r="O4" s="25">
        <v>33.28679192782495</v>
      </c>
      <c r="P4" s="5">
        <v>60.168372437795796</v>
      </c>
      <c r="Q4" s="5">
        <v>0</v>
      </c>
      <c r="R4" s="5">
        <v>2.9940168513775287</v>
      </c>
      <c r="S4" s="5">
        <v>63.162389289173326</v>
      </c>
    </row>
    <row r="5" spans="1:19">
      <c r="A5" s="19">
        <v>4</v>
      </c>
      <c r="B5" s="19" t="s">
        <v>14</v>
      </c>
      <c r="C5" s="18" t="s">
        <v>62</v>
      </c>
      <c r="D5" s="18" t="s">
        <v>77</v>
      </c>
      <c r="E5" s="5">
        <v>10.01</v>
      </c>
      <c r="F5" s="25">
        <v>89.65517241379311</v>
      </c>
      <c r="G5" s="5">
        <v>1.6199999999999999</v>
      </c>
      <c r="H5" s="25">
        <v>30.390011058639864</v>
      </c>
      <c r="I5" s="25">
        <v>43.844096523933523</v>
      </c>
      <c r="J5" s="5">
        <v>9.6</v>
      </c>
      <c r="K5" s="5">
        <v>0.89600000000000013</v>
      </c>
      <c r="L5" s="25">
        <v>2.4309699198064818</v>
      </c>
      <c r="M5" s="25">
        <v>0.47246122167617949</v>
      </c>
      <c r="N5" s="25">
        <v>0.33466844469541973</v>
      </c>
      <c r="O5" s="25">
        <v>29.245081785535824</v>
      </c>
      <c r="P5" s="5">
        <v>65.256692841109668</v>
      </c>
      <c r="Q5" s="5">
        <v>0</v>
      </c>
      <c r="R5" s="5">
        <v>2.6824354296287436</v>
      </c>
      <c r="S5" s="5">
        <v>67.939128270738408</v>
      </c>
    </row>
    <row r="6" spans="1:19">
      <c r="A6" s="19">
        <v>5</v>
      </c>
      <c r="B6" s="19" t="s">
        <v>14</v>
      </c>
      <c r="C6" s="18" t="s">
        <v>61</v>
      </c>
      <c r="D6" s="18" t="s">
        <v>78</v>
      </c>
      <c r="E6" s="5">
        <v>9.0939999999999994</v>
      </c>
      <c r="F6" s="25">
        <v>91.089108910891099</v>
      </c>
      <c r="G6" s="5">
        <v>1.3599999999999999</v>
      </c>
      <c r="H6" s="25">
        <v>28.187554633693871</v>
      </c>
      <c r="I6" s="25">
        <v>46.278328621504905</v>
      </c>
      <c r="J6" s="5">
        <v>10.3</v>
      </c>
      <c r="K6" s="5">
        <v>0.81920000000000015</v>
      </c>
      <c r="L6" s="25">
        <v>2.5263186261408381</v>
      </c>
      <c r="M6" s="25">
        <v>0.51356351047485282</v>
      </c>
      <c r="N6" s="25">
        <v>0.32610834274493</v>
      </c>
      <c r="O6" s="25">
        <v>36.178711654808772</v>
      </c>
      <c r="P6" s="5">
        <v>30.765773911979835</v>
      </c>
      <c r="Q6" s="5">
        <v>0</v>
      </c>
      <c r="R6" s="5">
        <v>1.6829757824088099</v>
      </c>
      <c r="S6" s="5">
        <v>32.448749694388646</v>
      </c>
    </row>
    <row r="7" spans="1:19">
      <c r="A7" s="19">
        <v>6</v>
      </c>
      <c r="B7" s="19" t="s">
        <v>14</v>
      </c>
      <c r="C7" s="18" t="s">
        <v>59</v>
      </c>
      <c r="D7" s="18" t="s">
        <v>78</v>
      </c>
      <c r="E7" s="5">
        <v>9.2420000000000009</v>
      </c>
      <c r="F7" s="25">
        <v>86.956521739130451</v>
      </c>
      <c r="G7" s="5">
        <v>1.2</v>
      </c>
      <c r="H7" s="25">
        <v>25.90718916768509</v>
      </c>
      <c r="I7" s="25">
        <v>43.234988146176242</v>
      </c>
      <c r="J7" s="5">
        <v>10</v>
      </c>
      <c r="K7" s="5">
        <v>0.83200000000000007</v>
      </c>
      <c r="L7" s="25">
        <v>2.260778118952294</v>
      </c>
      <c r="M7" s="25">
        <v>0.45923220445041324</v>
      </c>
      <c r="N7" s="25">
        <v>0.32098061210992701</v>
      </c>
      <c r="O7" s="25">
        <v>30.152888167369824</v>
      </c>
      <c r="P7" s="5">
        <v>58.050712484152342</v>
      </c>
      <c r="Q7" s="5">
        <v>0</v>
      </c>
      <c r="R7" s="5">
        <v>3.2769399317559009</v>
      </c>
      <c r="S7" s="5">
        <v>61.32765241590824</v>
      </c>
    </row>
    <row r="8" spans="1:19">
      <c r="A8" s="19">
        <v>7</v>
      </c>
      <c r="B8" s="19" t="s">
        <v>14</v>
      </c>
      <c r="C8" s="18" t="s">
        <v>62</v>
      </c>
      <c r="D8" s="18" t="s">
        <v>79</v>
      </c>
      <c r="E8" s="5">
        <v>8.370000000000001</v>
      </c>
      <c r="F8" s="25">
        <v>87.741935483870975</v>
      </c>
      <c r="G8" s="5">
        <v>1.44</v>
      </c>
      <c r="H8" s="25">
        <v>31.417360386806628</v>
      </c>
      <c r="I8" s="25">
        <v>48.957520362044484</v>
      </c>
      <c r="J8" s="5">
        <v>9.8000000000000007</v>
      </c>
      <c r="K8" s="5">
        <v>0.78079999999999994</v>
      </c>
      <c r="L8" s="25">
        <v>1.830904085894471</v>
      </c>
      <c r="M8" s="25">
        <v>0.4559883830367405</v>
      </c>
      <c r="N8" s="25">
        <v>0.32216119522196052</v>
      </c>
      <c r="O8" s="25">
        <v>29.514817282164149</v>
      </c>
      <c r="P8" s="5">
        <v>42.022994800670489</v>
      </c>
      <c r="Q8" s="5">
        <v>0</v>
      </c>
      <c r="R8" s="5">
        <v>2.2582301061763874</v>
      </c>
      <c r="S8" s="5">
        <v>44.281224906846873</v>
      </c>
    </row>
    <row r="9" spans="1:19">
      <c r="A9" s="19">
        <v>8</v>
      </c>
      <c r="B9" s="19" t="s">
        <v>14</v>
      </c>
      <c r="C9" s="18" t="s">
        <v>60</v>
      </c>
      <c r="D9" s="18" t="s">
        <v>79</v>
      </c>
      <c r="E9" s="5">
        <v>10.757999999999999</v>
      </c>
      <c r="F9" s="25">
        <v>87.356321839080479</v>
      </c>
      <c r="G9" s="5">
        <v>1.5400000000000003</v>
      </c>
      <c r="H9" s="25">
        <v>25.079892284352436</v>
      </c>
      <c r="I9" s="25">
        <v>41.756944332649631</v>
      </c>
      <c r="J9" s="5">
        <v>9.5</v>
      </c>
      <c r="K9" s="5">
        <v>0.76800000000000013</v>
      </c>
      <c r="L9" s="25">
        <v>1.8620600375089977</v>
      </c>
      <c r="M9" s="25">
        <v>0.48164674969221477</v>
      </c>
      <c r="N9" s="25">
        <v>0.29321194916720072</v>
      </c>
      <c r="O9" s="25">
        <v>39.145847624586629</v>
      </c>
      <c r="P9" s="5">
        <v>39.845378326105951</v>
      </c>
      <c r="Q9" s="5">
        <v>0</v>
      </c>
      <c r="R9" s="5">
        <v>2.0192591817527066</v>
      </c>
      <c r="S9" s="5">
        <v>41.86463750785866</v>
      </c>
    </row>
    <row r="10" spans="1:19">
      <c r="A10" s="19">
        <v>9</v>
      </c>
      <c r="B10" s="19" t="s">
        <v>14</v>
      </c>
      <c r="C10" s="18" t="s">
        <v>61</v>
      </c>
      <c r="D10" s="18" t="s">
        <v>79</v>
      </c>
      <c r="E10" s="5">
        <v>7.55</v>
      </c>
      <c r="F10" s="25">
        <v>92.307692307692335</v>
      </c>
      <c r="G10" s="5">
        <v>1.52</v>
      </c>
      <c r="H10" s="25">
        <v>27.288079169648082</v>
      </c>
      <c r="I10" s="25">
        <v>44.300033860032208</v>
      </c>
      <c r="J10" s="5">
        <v>9.8000000000000007</v>
      </c>
      <c r="K10" s="5">
        <v>0.80640000000000001</v>
      </c>
      <c r="L10" s="25">
        <v>3.8639456338023823</v>
      </c>
      <c r="M10" s="25">
        <v>0.493166099427164</v>
      </c>
      <c r="N10" s="25">
        <v>0.28391608925246448</v>
      </c>
      <c r="O10" s="25">
        <v>42.528230054977023</v>
      </c>
      <c r="P10" s="5">
        <v>46.016409535339847</v>
      </c>
      <c r="Q10" s="5">
        <v>0</v>
      </c>
      <c r="R10" s="5">
        <v>2.6543043253127148</v>
      </c>
      <c r="S10" s="5">
        <v>48.670713860652562</v>
      </c>
    </row>
    <row r="11" spans="1:19">
      <c r="A11" s="19">
        <v>10</v>
      </c>
      <c r="B11" s="19" t="s">
        <v>14</v>
      </c>
      <c r="C11" s="18" t="s">
        <v>59</v>
      </c>
      <c r="D11" s="18" t="s">
        <v>79</v>
      </c>
      <c r="E11" s="5">
        <v>11.877999999999998</v>
      </c>
      <c r="F11" s="25">
        <v>84.955752212389385</v>
      </c>
      <c r="G11" s="5">
        <v>1.5399999999999998</v>
      </c>
      <c r="H11" s="25">
        <v>26.272265948536045</v>
      </c>
      <c r="I11" s="25">
        <v>36.756965326316042</v>
      </c>
      <c r="J11" s="5">
        <v>9.6999999999999993</v>
      </c>
      <c r="K11" s="5">
        <v>0.83200000000000007</v>
      </c>
      <c r="L11" s="25">
        <v>2.4212813810233658</v>
      </c>
      <c r="M11" s="25">
        <v>0.44726071650234478</v>
      </c>
      <c r="N11" s="25">
        <v>0.32554809834864573</v>
      </c>
      <c r="O11" s="25">
        <v>26.935595689801726</v>
      </c>
      <c r="P11" s="5">
        <v>35.380375277072467</v>
      </c>
      <c r="Q11" s="5">
        <v>0</v>
      </c>
      <c r="R11" s="5">
        <v>2.0323793541100788</v>
      </c>
      <c r="S11" s="5">
        <v>37.412754631182544</v>
      </c>
    </row>
    <row r="12" spans="1:19">
      <c r="A12" s="19">
        <v>11</v>
      </c>
      <c r="B12" s="19" t="s">
        <v>14</v>
      </c>
      <c r="C12" s="18" t="s">
        <v>60</v>
      </c>
      <c r="D12" s="18" t="s">
        <v>78</v>
      </c>
      <c r="E12" s="5">
        <v>11.256</v>
      </c>
      <c r="F12" s="25">
        <v>91.089108910891099</v>
      </c>
      <c r="G12" s="5">
        <v>1.1000000000000001</v>
      </c>
      <c r="H12" s="25">
        <v>31.549007750118481</v>
      </c>
      <c r="I12" s="25">
        <v>46.843852318100396</v>
      </c>
      <c r="J12" s="5">
        <v>9.5</v>
      </c>
      <c r="K12" s="5">
        <v>0.85760000000000003</v>
      </c>
      <c r="L12" s="25">
        <v>2.8120062966836392</v>
      </c>
      <c r="M12" s="25">
        <v>0.48744346682539147</v>
      </c>
      <c r="N12" s="25">
        <v>0.34307497227394324</v>
      </c>
      <c r="O12" s="25">
        <v>29.691988160025801</v>
      </c>
      <c r="P12" s="5">
        <v>56.152936753107667</v>
      </c>
      <c r="Q12" s="5">
        <v>0</v>
      </c>
      <c r="R12" s="5">
        <v>1.8972384491003373</v>
      </c>
      <c r="S12" s="5">
        <v>58.050175202208003</v>
      </c>
    </row>
    <row r="13" spans="1:19">
      <c r="A13" s="19">
        <v>12</v>
      </c>
      <c r="B13" s="19" t="s">
        <v>14</v>
      </c>
      <c r="C13" s="18" t="s">
        <v>62</v>
      </c>
      <c r="D13" s="18" t="s">
        <v>78</v>
      </c>
      <c r="E13" s="5">
        <v>8.3800000000000008</v>
      </c>
      <c r="F13" s="25">
        <v>95.652173913043498</v>
      </c>
      <c r="G13" s="5">
        <v>1.18</v>
      </c>
      <c r="H13" s="25">
        <v>25.586263342801338</v>
      </c>
      <c r="I13" s="25">
        <v>45.291457251892439</v>
      </c>
      <c r="J13" s="5">
        <v>8.6999999999999993</v>
      </c>
      <c r="K13" s="5">
        <v>0.80640000000000001</v>
      </c>
      <c r="L13" s="25">
        <v>4.9716151137613736</v>
      </c>
      <c r="M13" s="25">
        <v>0.51028725720623047</v>
      </c>
      <c r="N13" s="25">
        <v>0.31771739517515724</v>
      </c>
      <c r="O13" s="25">
        <v>37.320443299311499</v>
      </c>
      <c r="P13" s="5">
        <v>61.124359526273714</v>
      </c>
      <c r="Q13" s="5">
        <v>0</v>
      </c>
      <c r="R13" s="5">
        <v>3.0644984914644549</v>
      </c>
      <c r="S13" s="5">
        <v>64.18885801773817</v>
      </c>
    </row>
    <row r="14" spans="1:19">
      <c r="A14" s="19">
        <v>13</v>
      </c>
      <c r="B14" s="19" t="s">
        <v>14</v>
      </c>
      <c r="C14" s="18" t="s">
        <v>59</v>
      </c>
      <c r="D14" s="18" t="s">
        <v>77</v>
      </c>
      <c r="E14" s="5">
        <v>10.206</v>
      </c>
      <c r="F14" s="25">
        <v>87.058823529411782</v>
      </c>
      <c r="G14" s="5">
        <v>1.2600000000000002</v>
      </c>
      <c r="H14" s="25">
        <v>32.614014877073465</v>
      </c>
      <c r="I14" s="25">
        <v>44.306171127733435</v>
      </c>
      <c r="J14" s="5">
        <v>10.199999999999999</v>
      </c>
      <c r="K14" s="5">
        <v>0.84480000000000011</v>
      </c>
      <c r="L14" s="25">
        <v>1.5341689692253908</v>
      </c>
      <c r="M14" s="25">
        <v>0.60149644394249224</v>
      </c>
      <c r="N14" s="25">
        <v>0.37322546879928326</v>
      </c>
      <c r="O14" s="25">
        <v>38.072642843468728</v>
      </c>
      <c r="P14" s="5">
        <v>66.8987367134538</v>
      </c>
      <c r="Q14" s="5">
        <v>0</v>
      </c>
      <c r="R14" s="5">
        <v>3.1811856624729948</v>
      </c>
      <c r="S14" s="5">
        <v>70.079922375926799</v>
      </c>
    </row>
    <row r="15" spans="1:19">
      <c r="A15" s="19">
        <v>14</v>
      </c>
      <c r="B15" s="19" t="s">
        <v>14</v>
      </c>
      <c r="C15" s="18" t="s">
        <v>61</v>
      </c>
      <c r="D15" s="18" t="s">
        <v>77</v>
      </c>
      <c r="E15" s="5">
        <v>11.414000000000001</v>
      </c>
      <c r="F15" s="25">
        <v>91.588785046728987</v>
      </c>
      <c r="G15" s="5">
        <v>1.2200000000000002</v>
      </c>
      <c r="H15" s="25">
        <v>29.017606691130304</v>
      </c>
      <c r="I15" s="25">
        <v>42.116906344127415</v>
      </c>
      <c r="J15" s="5">
        <v>10.7</v>
      </c>
      <c r="K15" s="5">
        <v>0.85760000000000003</v>
      </c>
      <c r="L15" s="25">
        <v>3.4981824673674313</v>
      </c>
      <c r="M15" s="25">
        <v>0.49024373492872575</v>
      </c>
      <c r="N15" s="25">
        <v>0.25368928248018424</v>
      </c>
      <c r="O15" s="25">
        <v>48.293773696282656</v>
      </c>
      <c r="P15" s="5">
        <v>65.71009052273088</v>
      </c>
      <c r="Q15" s="5">
        <v>0</v>
      </c>
      <c r="R15" s="5">
        <v>3.3374521896766312</v>
      </c>
      <c r="S15" s="5">
        <v>69.047542712407505</v>
      </c>
    </row>
    <row r="16" spans="1:19">
      <c r="A16" s="19">
        <v>15</v>
      </c>
      <c r="B16" s="19" t="s">
        <v>14</v>
      </c>
      <c r="C16" s="18" t="s">
        <v>62</v>
      </c>
      <c r="D16" s="18" t="s">
        <v>76</v>
      </c>
      <c r="E16" s="5">
        <v>10.219999999999999</v>
      </c>
      <c r="F16" s="25">
        <v>95.555555555555543</v>
      </c>
      <c r="G16" s="5">
        <v>1.1000000000000001</v>
      </c>
      <c r="H16" s="25">
        <v>26.330461428645211</v>
      </c>
      <c r="I16" s="25">
        <v>41.506241699291451</v>
      </c>
      <c r="J16" s="5">
        <v>8.9</v>
      </c>
      <c r="K16" s="5">
        <v>0.84480000000000011</v>
      </c>
      <c r="L16" s="25">
        <v>4.7627919022478391</v>
      </c>
      <c r="M16" s="25">
        <v>0.5741748318630886</v>
      </c>
      <c r="N16" s="25">
        <v>0.33030254469236747</v>
      </c>
      <c r="O16" s="25">
        <v>42.546394136900446</v>
      </c>
      <c r="P16" s="5">
        <v>50.105476149599497</v>
      </c>
      <c r="Q16" s="5">
        <v>0</v>
      </c>
      <c r="R16" s="5">
        <v>2.5534157259251771</v>
      </c>
      <c r="S16" s="5">
        <v>52.658891875524674</v>
      </c>
    </row>
    <row r="17" spans="1:19">
      <c r="A17" s="19">
        <v>16</v>
      </c>
      <c r="B17" s="19" t="s">
        <v>14</v>
      </c>
      <c r="C17" s="18" t="s">
        <v>60</v>
      </c>
      <c r="D17" s="18" t="s">
        <v>76</v>
      </c>
      <c r="E17" s="5">
        <v>10.012</v>
      </c>
      <c r="F17" s="25">
        <v>88.659793814433002</v>
      </c>
      <c r="G17" s="5">
        <v>1.2600000000000002</v>
      </c>
      <c r="H17" s="25">
        <v>26.360261733190054</v>
      </c>
      <c r="I17" s="25">
        <v>33.782730795481882</v>
      </c>
      <c r="J17" s="5">
        <v>8.3000000000000007</v>
      </c>
      <c r="K17" s="5">
        <v>0.74239999999999995</v>
      </c>
      <c r="L17" s="25">
        <v>1.8622218576678096</v>
      </c>
      <c r="M17" s="25">
        <v>0.58358197755461227</v>
      </c>
      <c r="N17" s="25">
        <v>0.348287916018029</v>
      </c>
      <c r="O17" s="25">
        <v>40.495383205769926</v>
      </c>
      <c r="P17" s="5">
        <v>73.42268341635608</v>
      </c>
      <c r="Q17" s="5">
        <v>0</v>
      </c>
      <c r="R17" s="5">
        <v>3.169619082183381</v>
      </c>
      <c r="S17" s="5">
        <v>76.592302498539453</v>
      </c>
    </row>
    <row r="18" spans="1:19">
      <c r="A18" s="18">
        <v>1</v>
      </c>
      <c r="B18" s="19" t="s">
        <v>35</v>
      </c>
      <c r="C18" s="18" t="s">
        <v>59</v>
      </c>
      <c r="D18" s="18" t="s">
        <v>76</v>
      </c>
      <c r="E18" s="5">
        <v>9.282</v>
      </c>
      <c r="F18" s="25">
        <v>84.848484848484844</v>
      </c>
      <c r="G18" s="5">
        <v>1.3800000000000001</v>
      </c>
      <c r="H18" s="25">
        <v>34.605505232513373</v>
      </c>
      <c r="I18" s="25">
        <v>55.377241715347289</v>
      </c>
      <c r="J18" s="5">
        <v>9.8000000000000007</v>
      </c>
      <c r="K18" s="5">
        <v>0.89600000000000013</v>
      </c>
      <c r="L18" s="25">
        <v>2.07382119973032</v>
      </c>
      <c r="M18" s="25">
        <v>0.47127745897052353</v>
      </c>
      <c r="N18" s="25">
        <v>0.30926571736719422</v>
      </c>
      <c r="O18" s="25">
        <v>34.231333416928507</v>
      </c>
      <c r="P18" s="5" t="s">
        <v>36</v>
      </c>
      <c r="Q18" s="5" t="s">
        <v>36</v>
      </c>
      <c r="R18" s="5" t="s">
        <v>36</v>
      </c>
      <c r="S18" s="5" t="s">
        <v>36</v>
      </c>
    </row>
    <row r="19" spans="1:19">
      <c r="A19" s="19">
        <v>2</v>
      </c>
      <c r="B19" s="19" t="s">
        <v>35</v>
      </c>
      <c r="C19" s="18" t="s">
        <v>61</v>
      </c>
      <c r="D19" s="18" t="s">
        <v>76</v>
      </c>
      <c r="E19" s="5">
        <v>10.674000000000001</v>
      </c>
      <c r="F19" s="25">
        <v>85.925925925925924</v>
      </c>
      <c r="G19" s="5">
        <v>1.3399999999999999</v>
      </c>
      <c r="H19" s="25">
        <v>34.430008779172908</v>
      </c>
      <c r="I19" s="25">
        <v>55.624427188061901</v>
      </c>
      <c r="J19" s="5">
        <v>9</v>
      </c>
      <c r="K19" s="5">
        <v>0.83200000000000007</v>
      </c>
      <c r="L19" s="25">
        <v>2.6328622274410587</v>
      </c>
      <c r="M19" s="25">
        <v>0.48784186990629047</v>
      </c>
      <c r="N19" s="25">
        <v>0.34717760192505276</v>
      </c>
      <c r="O19" s="25">
        <v>28.9903199628015</v>
      </c>
      <c r="P19" s="5" t="s">
        <v>36</v>
      </c>
      <c r="Q19" s="5" t="s">
        <v>36</v>
      </c>
      <c r="R19" s="5" t="s">
        <v>36</v>
      </c>
      <c r="S19" s="5" t="s">
        <v>36</v>
      </c>
    </row>
    <row r="20" spans="1:19">
      <c r="A20" s="19">
        <v>3</v>
      </c>
      <c r="B20" s="19" t="s">
        <v>35</v>
      </c>
      <c r="C20" s="18" t="s">
        <v>60</v>
      </c>
      <c r="D20" s="18" t="s">
        <v>77</v>
      </c>
      <c r="E20" s="5">
        <v>11.36</v>
      </c>
      <c r="F20" s="25">
        <v>90.434782608695656</v>
      </c>
      <c r="G20" s="5">
        <v>1.36</v>
      </c>
      <c r="H20" s="25">
        <v>26.1036260956839</v>
      </c>
      <c r="I20" s="25">
        <v>46.091327817714259</v>
      </c>
      <c r="J20" s="5">
        <v>11.3</v>
      </c>
      <c r="K20" s="5">
        <v>0.96000000000000008</v>
      </c>
      <c r="L20" s="25">
        <v>3.705919411523936</v>
      </c>
      <c r="M20" s="25">
        <v>0.41810034543105046</v>
      </c>
      <c r="N20" s="25">
        <v>0.28524833898029128</v>
      </c>
      <c r="O20" s="25">
        <v>31.380424080469727</v>
      </c>
      <c r="P20" s="5" t="s">
        <v>36</v>
      </c>
      <c r="Q20" s="5" t="s">
        <v>36</v>
      </c>
      <c r="R20" s="5" t="s">
        <v>36</v>
      </c>
      <c r="S20" s="5" t="s">
        <v>36</v>
      </c>
    </row>
    <row r="21" spans="1:19">
      <c r="A21" s="19">
        <v>4</v>
      </c>
      <c r="B21" s="19" t="s">
        <v>35</v>
      </c>
      <c r="C21" s="18" t="s">
        <v>62</v>
      </c>
      <c r="D21" s="18" t="s">
        <v>77</v>
      </c>
      <c r="E21" s="5">
        <v>9.3740000000000006</v>
      </c>
      <c r="F21" s="25">
        <v>87.640449438202268</v>
      </c>
      <c r="G21" s="5">
        <v>1.32</v>
      </c>
      <c r="H21" s="25">
        <v>26.674328279142447</v>
      </c>
      <c r="I21" s="25">
        <v>44.551499413599991</v>
      </c>
      <c r="J21" s="5">
        <v>10.3</v>
      </c>
      <c r="K21" s="5">
        <v>0.83200000000000007</v>
      </c>
      <c r="L21" s="25">
        <v>2.4790026185814362</v>
      </c>
      <c r="M21" s="25">
        <v>0.5131864106712245</v>
      </c>
      <c r="N21" s="25">
        <v>0.36583227770825028</v>
      </c>
      <c r="O21" s="25">
        <v>29.030657350352424</v>
      </c>
      <c r="P21" s="5">
        <v>411.12454017011379</v>
      </c>
      <c r="Q21" s="5">
        <v>33.086387408961869</v>
      </c>
      <c r="R21" s="5">
        <v>12.778097696269951</v>
      </c>
      <c r="S21" s="5">
        <v>456.98902527534557</v>
      </c>
    </row>
    <row r="22" spans="1:19">
      <c r="A22" s="19">
        <v>5</v>
      </c>
      <c r="B22" s="19" t="s">
        <v>35</v>
      </c>
      <c r="C22" s="18" t="s">
        <v>61</v>
      </c>
      <c r="D22" s="18" t="s">
        <v>78</v>
      </c>
      <c r="E22" s="5">
        <v>12.132000000000001</v>
      </c>
      <c r="F22" s="25">
        <v>82.051282051282044</v>
      </c>
      <c r="G22" s="5">
        <v>1.5</v>
      </c>
      <c r="H22" s="25">
        <v>27.423463103786233</v>
      </c>
      <c r="I22" s="25">
        <v>42.6868562909006</v>
      </c>
      <c r="J22" s="5">
        <v>11.2</v>
      </c>
      <c r="K22" s="5">
        <v>0.81920000000000015</v>
      </c>
      <c r="L22" s="25">
        <v>2.0304952613788672</v>
      </c>
      <c r="M22" s="25">
        <v>0.408619115208123</v>
      </c>
      <c r="N22" s="25">
        <v>0.26025546127000576</v>
      </c>
      <c r="O22" s="25">
        <v>36.0740683148301</v>
      </c>
      <c r="P22" s="5">
        <v>351.17618497266699</v>
      </c>
      <c r="Q22" s="5">
        <v>16.028974151510415</v>
      </c>
      <c r="R22" s="5">
        <v>11.898922966909021</v>
      </c>
      <c r="S22" s="5">
        <v>379.10408209108641</v>
      </c>
    </row>
    <row r="23" spans="1:19">
      <c r="A23" s="19">
        <v>6</v>
      </c>
      <c r="B23" s="19" t="s">
        <v>35</v>
      </c>
      <c r="C23" s="18" t="s">
        <v>59</v>
      </c>
      <c r="D23" s="18" t="s">
        <v>78</v>
      </c>
      <c r="E23" s="5">
        <v>13.1</v>
      </c>
      <c r="F23" s="25">
        <v>87.179487179487197</v>
      </c>
      <c r="G23" s="5">
        <v>1.3800000000000001</v>
      </c>
      <c r="H23" s="25">
        <v>30.184549162349235</v>
      </c>
      <c r="I23" s="25">
        <v>40.732965764844572</v>
      </c>
      <c r="J23" s="5">
        <v>10.5</v>
      </c>
      <c r="K23" s="5">
        <v>0.97280000000000011</v>
      </c>
      <c r="L23" s="25">
        <v>2.6436122613816844</v>
      </c>
      <c r="M23" s="25">
        <v>0.47701376382487254</v>
      </c>
      <c r="N23" s="25">
        <v>0.30078224362300676</v>
      </c>
      <c r="O23" s="25">
        <v>36.860571180288723</v>
      </c>
      <c r="P23" s="5">
        <v>347.46471537710426</v>
      </c>
      <c r="Q23" s="5">
        <v>11.566988465328462</v>
      </c>
      <c r="R23" s="5">
        <v>10.449925314595751</v>
      </c>
      <c r="S23" s="5">
        <v>369.48162915702846</v>
      </c>
    </row>
    <row r="24" spans="1:19">
      <c r="A24" s="19">
        <v>7</v>
      </c>
      <c r="B24" s="19" t="s">
        <v>35</v>
      </c>
      <c r="C24" s="18" t="s">
        <v>62</v>
      </c>
      <c r="D24" s="18" t="s">
        <v>79</v>
      </c>
      <c r="E24" s="5">
        <v>12.569999999999999</v>
      </c>
      <c r="F24" s="25">
        <v>86.021505376344095</v>
      </c>
      <c r="G24" s="5">
        <v>2.06</v>
      </c>
      <c r="H24" s="25" t="s">
        <v>36</v>
      </c>
      <c r="I24" s="25" t="s">
        <v>36</v>
      </c>
      <c r="J24" s="5">
        <v>10.1</v>
      </c>
      <c r="K24" s="5">
        <v>0.87039999999999995</v>
      </c>
      <c r="L24" s="25">
        <v>2.6226960901190166</v>
      </c>
      <c r="M24" s="25">
        <v>0.40774027553086445</v>
      </c>
      <c r="N24" s="25">
        <v>0.25502693751716948</v>
      </c>
      <c r="O24" s="25">
        <v>37.441983507510372</v>
      </c>
      <c r="P24" s="5">
        <v>373.3127604610608</v>
      </c>
      <c r="Q24" s="5">
        <v>14.785736887884063</v>
      </c>
      <c r="R24" s="5">
        <v>12.044198677361001</v>
      </c>
      <c r="S24" s="5">
        <v>400.14269602630588</v>
      </c>
    </row>
    <row r="25" spans="1:19">
      <c r="A25" s="19">
        <v>8</v>
      </c>
      <c r="B25" s="19" t="s">
        <v>35</v>
      </c>
      <c r="C25" s="18" t="s">
        <v>60</v>
      </c>
      <c r="D25" s="18" t="s">
        <v>79</v>
      </c>
      <c r="E25" s="5">
        <v>9.984</v>
      </c>
      <c r="F25" s="25">
        <v>87.074829931972786</v>
      </c>
      <c r="G25" s="5">
        <v>1.64</v>
      </c>
      <c r="H25" s="25">
        <v>36.272342451979959</v>
      </c>
      <c r="I25" s="25">
        <v>41.614263179828136</v>
      </c>
      <c r="J25" s="5">
        <v>10</v>
      </c>
      <c r="K25" s="5">
        <v>0.80640000000000001</v>
      </c>
      <c r="L25" s="25">
        <v>2.689542547073672</v>
      </c>
      <c r="M25" s="25">
        <v>0.43884560402104078</v>
      </c>
      <c r="N25" s="25">
        <v>0.29192866518116001</v>
      </c>
      <c r="O25" s="25">
        <v>33.74323196595045</v>
      </c>
      <c r="P25" s="5">
        <v>411.76532684527496</v>
      </c>
      <c r="Q25" s="5">
        <v>17.233788563474757</v>
      </c>
      <c r="R25" s="5">
        <v>14.419518941835753</v>
      </c>
      <c r="S25" s="5">
        <v>443.41863435058548</v>
      </c>
    </row>
    <row r="26" spans="1:19">
      <c r="A26" s="19">
        <v>9</v>
      </c>
      <c r="B26" s="19" t="s">
        <v>35</v>
      </c>
      <c r="C26" s="18" t="s">
        <v>61</v>
      </c>
      <c r="D26" s="18" t="s">
        <v>79</v>
      </c>
      <c r="E26" s="5">
        <v>6.7379999999999995</v>
      </c>
      <c r="F26" s="25">
        <v>86.956521739130437</v>
      </c>
      <c r="G26" s="5">
        <v>1.8199999999999998</v>
      </c>
      <c r="H26" s="25">
        <v>34.729646509571531</v>
      </c>
      <c r="I26" s="25">
        <v>49.376444788988195</v>
      </c>
      <c r="J26" s="5">
        <v>10.8</v>
      </c>
      <c r="K26" s="5">
        <v>0.84480000000000011</v>
      </c>
      <c r="L26" s="25">
        <v>3.0655554329931629</v>
      </c>
      <c r="M26" s="25">
        <v>0.47461539635542199</v>
      </c>
      <c r="N26" s="25">
        <v>0.23365625286163375</v>
      </c>
      <c r="O26" s="25">
        <v>50.673319913646601</v>
      </c>
      <c r="P26" s="5">
        <v>467.86155292088216</v>
      </c>
      <c r="Q26" s="5">
        <v>19.13054225652122</v>
      </c>
      <c r="R26" s="5">
        <v>19.891841575813071</v>
      </c>
      <c r="S26" s="5">
        <v>506.88393675321646</v>
      </c>
    </row>
    <row r="27" spans="1:19">
      <c r="A27" s="19">
        <v>10</v>
      </c>
      <c r="B27" s="19" t="s">
        <v>35</v>
      </c>
      <c r="C27" s="18" t="s">
        <v>59</v>
      </c>
      <c r="D27" s="18" t="s">
        <v>79</v>
      </c>
      <c r="E27" s="5">
        <v>11.36</v>
      </c>
      <c r="F27" s="25">
        <v>83.185840707964616</v>
      </c>
      <c r="G27" s="5">
        <v>1.56</v>
      </c>
      <c r="H27" s="25">
        <v>22.279814593367444</v>
      </c>
      <c r="I27" s="25">
        <v>39.142227836442828</v>
      </c>
      <c r="J27" s="5">
        <v>10.4</v>
      </c>
      <c r="K27" s="5">
        <v>0.85760000000000003</v>
      </c>
      <c r="L27" s="25">
        <v>2.3538149769902068</v>
      </c>
      <c r="M27" s="25">
        <v>0.4130848544509218</v>
      </c>
      <c r="N27" s="25">
        <v>0.26373139301812049</v>
      </c>
      <c r="O27" s="25">
        <v>35.881829937847954</v>
      </c>
      <c r="P27" s="5">
        <v>359.45206783453352</v>
      </c>
      <c r="Q27" s="5">
        <v>15.119403093740221</v>
      </c>
      <c r="R27" s="5">
        <v>14.840195788168607</v>
      </c>
      <c r="S27" s="5">
        <v>389.41166671644237</v>
      </c>
    </row>
    <row r="28" spans="1:19">
      <c r="A28" s="19">
        <v>11</v>
      </c>
      <c r="B28" s="19" t="s">
        <v>35</v>
      </c>
      <c r="C28" s="18" t="s">
        <v>60</v>
      </c>
      <c r="D28" s="18" t="s">
        <v>78</v>
      </c>
      <c r="E28" s="5">
        <v>8.8640000000000008</v>
      </c>
      <c r="F28" s="25">
        <v>86.4</v>
      </c>
      <c r="G28" s="5">
        <v>1.6199999999999999</v>
      </c>
      <c r="H28" s="25">
        <v>27.815510817596447</v>
      </c>
      <c r="I28" s="25">
        <v>39.346278095901269</v>
      </c>
      <c r="J28" s="5">
        <v>10.199999999999999</v>
      </c>
      <c r="K28" s="5">
        <v>0.8832000000000001</v>
      </c>
      <c r="L28" s="25">
        <v>3.0139290808593264</v>
      </c>
      <c r="M28" s="25">
        <v>0.46935730238189677</v>
      </c>
      <c r="N28" s="25">
        <v>0.32153799487195101</v>
      </c>
      <c r="O28" s="25">
        <v>31.238476485102424</v>
      </c>
      <c r="P28" s="5">
        <v>400.9457526157791</v>
      </c>
      <c r="Q28" s="5">
        <v>14.056052001570583</v>
      </c>
      <c r="R28" s="5">
        <v>10.915439527027013</v>
      </c>
      <c r="S28" s="5">
        <v>425.9172441443767</v>
      </c>
    </row>
    <row r="29" spans="1:19">
      <c r="A29" s="19">
        <v>12</v>
      </c>
      <c r="B29" s="19" t="s">
        <v>35</v>
      </c>
      <c r="C29" s="18" t="s">
        <v>62</v>
      </c>
      <c r="D29" s="18" t="s">
        <v>78</v>
      </c>
      <c r="E29" s="5">
        <v>11.097999999999999</v>
      </c>
      <c r="F29" s="25">
        <v>88.659793814433002</v>
      </c>
      <c r="G29" s="5">
        <v>1.8</v>
      </c>
      <c r="H29" s="25">
        <v>36.243475900228333</v>
      </c>
      <c r="I29" s="25">
        <v>47.562842640027313</v>
      </c>
      <c r="J29" s="5">
        <v>11.6</v>
      </c>
      <c r="K29" s="5">
        <v>0.94720000000000015</v>
      </c>
      <c r="L29" s="25">
        <v>3.4114351979971627</v>
      </c>
      <c r="M29" s="25">
        <v>0.39295262151134974</v>
      </c>
      <c r="N29" s="25">
        <v>0.25916772229174878</v>
      </c>
      <c r="O29" s="25">
        <v>33.23825966674778</v>
      </c>
      <c r="P29" s="5">
        <v>469.52348760235992</v>
      </c>
      <c r="Q29" s="5">
        <v>22.577030047605621</v>
      </c>
      <c r="R29" s="5">
        <v>11.630672042769064</v>
      </c>
      <c r="S29" s="5">
        <v>503.73118969273457</v>
      </c>
    </row>
    <row r="30" spans="1:19">
      <c r="A30" s="19">
        <v>13</v>
      </c>
      <c r="B30" s="19" t="s">
        <v>35</v>
      </c>
      <c r="C30" s="18" t="s">
        <v>59</v>
      </c>
      <c r="D30" s="18" t="s">
        <v>77</v>
      </c>
      <c r="E30" s="5">
        <v>12.898</v>
      </c>
      <c r="F30" s="25">
        <v>86.131386861313871</v>
      </c>
      <c r="G30" s="5">
        <v>1.8</v>
      </c>
      <c r="H30" s="25">
        <v>29.113435066558257</v>
      </c>
      <c r="I30" s="25">
        <v>39.72949785738551</v>
      </c>
      <c r="J30" s="5">
        <v>11</v>
      </c>
      <c r="K30" s="5">
        <v>0.81920000000000015</v>
      </c>
      <c r="L30" s="25">
        <v>2.5446032994040539</v>
      </c>
      <c r="M30" s="25">
        <v>0.48363844713734772</v>
      </c>
      <c r="N30" s="25">
        <v>0.28246778435741626</v>
      </c>
      <c r="O30" s="25">
        <v>41.737605542341647</v>
      </c>
      <c r="P30" s="5">
        <v>388.40375518936389</v>
      </c>
      <c r="Q30" s="5">
        <v>17.287761281266739</v>
      </c>
      <c r="R30" s="5">
        <v>15.321394732717961</v>
      </c>
      <c r="S30" s="5">
        <v>421.01291120334861</v>
      </c>
    </row>
    <row r="31" spans="1:19">
      <c r="A31" s="19">
        <v>14</v>
      </c>
      <c r="B31" s="19" t="s">
        <v>35</v>
      </c>
      <c r="C31" s="18" t="s">
        <v>61</v>
      </c>
      <c r="D31" s="18" t="s">
        <v>77</v>
      </c>
      <c r="E31" s="5">
        <v>9.3460000000000001</v>
      </c>
      <c r="F31" s="25">
        <v>82.352941176470608</v>
      </c>
      <c r="G31" s="5">
        <v>1.7400000000000002</v>
      </c>
      <c r="H31" s="25">
        <v>26.410097008012205</v>
      </c>
      <c r="I31" s="25">
        <v>47.954889218931577</v>
      </c>
      <c r="J31" s="5">
        <v>10.5</v>
      </c>
      <c r="K31" s="5">
        <v>0.76800000000000013</v>
      </c>
      <c r="L31" s="25">
        <v>1.7648129503100285</v>
      </c>
      <c r="M31" s="25">
        <v>0.41675505936937152</v>
      </c>
      <c r="N31" s="25">
        <v>0.21583399468880626</v>
      </c>
      <c r="O31" s="25">
        <v>47.836237985388472</v>
      </c>
      <c r="P31" s="5">
        <v>242.12710111953984</v>
      </c>
      <c r="Q31" s="5">
        <v>12.699466469242159</v>
      </c>
      <c r="R31" s="5">
        <v>12.335678741284703</v>
      </c>
      <c r="S31" s="5">
        <v>267.16224633006669</v>
      </c>
    </row>
    <row r="32" spans="1:19">
      <c r="A32" s="19">
        <v>15</v>
      </c>
      <c r="B32" s="19" t="s">
        <v>35</v>
      </c>
      <c r="C32" s="18" t="s">
        <v>62</v>
      </c>
      <c r="D32" s="18" t="s">
        <v>76</v>
      </c>
      <c r="E32" s="5">
        <v>8.6180000000000003</v>
      </c>
      <c r="F32" s="25">
        <v>81.632653061224516</v>
      </c>
      <c r="G32" s="5">
        <v>1.44</v>
      </c>
      <c r="H32" s="25">
        <v>28.479107810996485</v>
      </c>
      <c r="I32" s="25">
        <v>46.997065865860179</v>
      </c>
      <c r="J32" s="5">
        <v>10.4</v>
      </c>
      <c r="K32" s="5">
        <v>0.70400000000000007</v>
      </c>
      <c r="L32" s="25">
        <v>1.983634797058059</v>
      </c>
      <c r="M32" s="25">
        <v>0.48563141641992952</v>
      </c>
      <c r="N32" s="25">
        <v>0.30724985501053048</v>
      </c>
      <c r="O32" s="25">
        <v>36.974860664840676</v>
      </c>
      <c r="P32" s="5">
        <v>195.36952434670687</v>
      </c>
      <c r="Q32" s="5">
        <v>9.888603299591475</v>
      </c>
      <c r="R32" s="5">
        <v>9.8222327299574559</v>
      </c>
      <c r="S32" s="5">
        <v>215.08036037625578</v>
      </c>
    </row>
    <row r="33" spans="1:19">
      <c r="A33" s="19">
        <v>16</v>
      </c>
      <c r="B33" s="19" t="s">
        <v>35</v>
      </c>
      <c r="C33" s="18" t="s">
        <v>60</v>
      </c>
      <c r="D33" s="18" t="s">
        <v>76</v>
      </c>
      <c r="E33" s="5">
        <v>9.5739999999999998</v>
      </c>
      <c r="F33" s="25">
        <v>87.804878048780495</v>
      </c>
      <c r="G33" s="5">
        <v>1.24</v>
      </c>
      <c r="H33" s="25">
        <v>29.590611128368952</v>
      </c>
      <c r="I33" s="25">
        <v>47.448419362503529</v>
      </c>
      <c r="J33" s="5">
        <v>10.7</v>
      </c>
      <c r="K33" s="5">
        <v>0.80640000000000001</v>
      </c>
      <c r="L33" s="25">
        <v>2.2351001513665931</v>
      </c>
      <c r="M33" s="25">
        <v>0.48124898253004023</v>
      </c>
      <c r="N33" s="25">
        <v>0.31492157850289426</v>
      </c>
      <c r="O33" s="25">
        <v>34.162224465435472</v>
      </c>
      <c r="P33" s="5">
        <v>385.34830716019945</v>
      </c>
      <c r="Q33" s="5">
        <v>14.916113604537893</v>
      </c>
      <c r="R33" s="5">
        <v>11.198142952697376</v>
      </c>
      <c r="S33" s="5">
        <v>411.4625637174347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567187F-5A48-4587-B4D4-6ED948D03D5D}">
  <dimension ref="A1:Q33"/>
  <sheetViews>
    <sheetView topLeftCell="J1" workbookViewId="0">
      <selection activeCell="C3" sqref="C3"/>
    </sheetView>
  </sheetViews>
  <sheetFormatPr defaultColWidth="11.42578125" defaultRowHeight="15"/>
  <sheetData>
    <row r="1" spans="1:17">
      <c r="A1" t="s">
        <v>163</v>
      </c>
      <c r="B1" t="s">
        <v>57</v>
      </c>
      <c r="C1" t="s">
        <v>70</v>
      </c>
      <c r="D1" t="s">
        <v>71</v>
      </c>
      <c r="E1" t="s">
        <v>6</v>
      </c>
      <c r="F1" t="s">
        <v>72</v>
      </c>
      <c r="G1" t="s">
        <v>73</v>
      </c>
      <c r="H1" t="s">
        <v>74</v>
      </c>
      <c r="I1" t="s">
        <v>45</v>
      </c>
      <c r="J1" t="s">
        <v>75</v>
      </c>
      <c r="K1" t="s">
        <v>156</v>
      </c>
      <c r="L1" t="s">
        <v>157</v>
      </c>
      <c r="M1" t="s">
        <v>158</v>
      </c>
      <c r="N1" t="s">
        <v>159</v>
      </c>
      <c r="O1" t="s">
        <v>160</v>
      </c>
      <c r="P1" t="s">
        <v>161</v>
      </c>
      <c r="Q1" t="s">
        <v>162</v>
      </c>
    </row>
    <row r="2" spans="1:17">
      <c r="A2" t="s">
        <v>14</v>
      </c>
      <c r="B2" t="s">
        <v>59</v>
      </c>
      <c r="C2">
        <v>11.33</v>
      </c>
      <c r="D2">
        <v>85.314685314685306</v>
      </c>
      <c r="E2">
        <v>1.8800000000000001</v>
      </c>
      <c r="F2">
        <v>27.386914825196367</v>
      </c>
      <c r="G2">
        <v>48.326400652231484</v>
      </c>
      <c r="H2">
        <v>8.8000000000000007</v>
      </c>
      <c r="I2">
        <v>0.83200000000000007</v>
      </c>
      <c r="J2">
        <v>1.3869259606988684</v>
      </c>
      <c r="K2">
        <v>0.65435739988943431</v>
      </c>
      <c r="L2">
        <v>0.40898370861016931</v>
      </c>
      <c r="M2">
        <v>37.875673457302895</v>
      </c>
      <c r="N2">
        <v>50.149877351793641</v>
      </c>
      <c r="O2">
        <v>0</v>
      </c>
      <c r="P2">
        <v>2.4968679359668791</v>
      </c>
      <c r="Q2">
        <v>52.646745287760524</v>
      </c>
    </row>
    <row r="3" spans="1:17">
      <c r="A3" t="s">
        <v>14</v>
      </c>
      <c r="B3" t="s">
        <v>61</v>
      </c>
      <c r="C3">
        <v>8.2379999999999995</v>
      </c>
      <c r="D3">
        <v>83.11688311688313</v>
      </c>
      <c r="E3">
        <v>1.9600000000000002</v>
      </c>
      <c r="F3">
        <v>33.014448799948383</v>
      </c>
      <c r="G3">
        <v>48.453657240707848</v>
      </c>
      <c r="H3">
        <v>9.3000000000000007</v>
      </c>
      <c r="I3">
        <v>0.8832000000000001</v>
      </c>
      <c r="J3">
        <v>1.2366200654765778</v>
      </c>
      <c r="K3">
        <v>0.68352169245952965</v>
      </c>
      <c r="L3">
        <v>0.46269213224396183</v>
      </c>
      <c r="M3">
        <v>32.144459319863635</v>
      </c>
      <c r="N3">
        <v>34.679071006915109</v>
      </c>
      <c r="O3">
        <v>0</v>
      </c>
      <c r="P3">
        <v>1.7774180867974756</v>
      </c>
      <c r="Q3">
        <v>36.456489093712584</v>
      </c>
    </row>
    <row r="4" spans="1:17">
      <c r="A4" t="s">
        <v>14</v>
      </c>
      <c r="B4" t="s">
        <v>60</v>
      </c>
      <c r="C4">
        <v>11.416</v>
      </c>
      <c r="D4">
        <v>86.614173228346459</v>
      </c>
      <c r="E4">
        <v>1.94</v>
      </c>
      <c r="F4">
        <v>25.831532108339776</v>
      </c>
      <c r="G4">
        <v>42.618476040327863</v>
      </c>
      <c r="H4">
        <v>9.9</v>
      </c>
      <c r="I4">
        <v>0.76800000000000013</v>
      </c>
      <c r="J4">
        <v>2.1435573463208111</v>
      </c>
      <c r="K4">
        <v>0.63442092393055372</v>
      </c>
      <c r="L4">
        <v>0.40200492455460179</v>
      </c>
      <c r="M4">
        <v>36.537445157065129</v>
      </c>
      <c r="N4">
        <v>60.168372437795796</v>
      </c>
      <c r="O4">
        <v>0</v>
      </c>
      <c r="P4">
        <v>2.9940168513775287</v>
      </c>
      <c r="Q4">
        <v>63.162389289173326</v>
      </c>
    </row>
    <row r="5" spans="1:17">
      <c r="A5" t="s">
        <v>14</v>
      </c>
      <c r="B5" t="s">
        <v>62</v>
      </c>
      <c r="C5">
        <v>10.01</v>
      </c>
      <c r="D5">
        <v>89.65517241379311</v>
      </c>
      <c r="E5">
        <v>1.6199999999999999</v>
      </c>
      <c r="F5">
        <v>30.390011058639864</v>
      </c>
      <c r="G5">
        <v>43.844096523933523</v>
      </c>
      <c r="H5">
        <v>9.6</v>
      </c>
      <c r="I5">
        <v>0.89600000000000013</v>
      </c>
      <c r="J5">
        <v>2.4309699198064818</v>
      </c>
      <c r="K5">
        <v>0.64625409955604374</v>
      </c>
      <c r="L5">
        <v>0.37786523779968684</v>
      </c>
      <c r="M5">
        <v>41.582814063045632</v>
      </c>
      <c r="N5">
        <v>65.256692841109668</v>
      </c>
      <c r="O5">
        <v>0</v>
      </c>
      <c r="P5">
        <v>2.6824354296287436</v>
      </c>
      <c r="Q5">
        <v>67.939128270738408</v>
      </c>
    </row>
    <row r="6" spans="1:17">
      <c r="A6" t="s">
        <v>14</v>
      </c>
      <c r="B6" t="s">
        <v>61</v>
      </c>
      <c r="C6">
        <v>9.0939999999999994</v>
      </c>
      <c r="D6">
        <v>91.089108910891099</v>
      </c>
      <c r="E6">
        <v>1.3599999999999999</v>
      </c>
      <c r="F6">
        <v>28.187554633693871</v>
      </c>
      <c r="G6">
        <v>46.278328621504905</v>
      </c>
      <c r="H6">
        <v>10.3</v>
      </c>
      <c r="I6">
        <v>0.81920000000000015</v>
      </c>
      <c r="J6">
        <v>2.5263186261408381</v>
      </c>
      <c r="K6">
        <v>0.59129016038718096</v>
      </c>
      <c r="L6">
        <v>0.39024403169079735</v>
      </c>
      <c r="M6">
        <v>35.649189787388451</v>
      </c>
      <c r="N6">
        <v>30.765773911979835</v>
      </c>
      <c r="O6">
        <v>0</v>
      </c>
      <c r="P6">
        <v>1.6829757824088099</v>
      </c>
      <c r="Q6">
        <v>32.448749694388646</v>
      </c>
    </row>
    <row r="7" spans="1:17">
      <c r="A7" t="s">
        <v>14</v>
      </c>
      <c r="B7" t="s">
        <v>59</v>
      </c>
      <c r="C7">
        <v>9.2420000000000009</v>
      </c>
      <c r="D7">
        <v>86.956521739130451</v>
      </c>
      <c r="E7">
        <v>1.2</v>
      </c>
      <c r="F7">
        <v>25.90718916768509</v>
      </c>
      <c r="G7">
        <v>43.234988146176242</v>
      </c>
      <c r="H7">
        <v>10</v>
      </c>
      <c r="I7">
        <v>0.83200000000000007</v>
      </c>
      <c r="J7">
        <v>2.260778118952294</v>
      </c>
      <c r="K7">
        <v>0.67405413448917861</v>
      </c>
      <c r="L7">
        <v>0.42633369114360187</v>
      </c>
      <c r="M7">
        <v>36.58400239024985</v>
      </c>
      <c r="N7">
        <v>58.050712484152342</v>
      </c>
      <c r="O7">
        <v>0</v>
      </c>
      <c r="P7">
        <v>3.2769399317559009</v>
      </c>
      <c r="Q7">
        <v>61.32765241590824</v>
      </c>
    </row>
    <row r="8" spans="1:17">
      <c r="A8" t="s">
        <v>14</v>
      </c>
      <c r="B8" t="s">
        <v>62</v>
      </c>
      <c r="C8">
        <v>8.370000000000001</v>
      </c>
      <c r="D8">
        <v>87.741935483870975</v>
      </c>
      <c r="E8">
        <v>1.44</v>
      </c>
      <c r="F8">
        <v>31.417360386806628</v>
      </c>
      <c r="G8">
        <v>48.957520362044484</v>
      </c>
      <c r="H8">
        <v>9.8000000000000007</v>
      </c>
      <c r="I8">
        <v>0.78079999999999994</v>
      </c>
      <c r="J8">
        <v>1.830904085894471</v>
      </c>
      <c r="K8">
        <v>0.75886534293824925</v>
      </c>
      <c r="L8">
        <v>0.53286894308612176</v>
      </c>
      <c r="M8">
        <v>29.688975631873767</v>
      </c>
      <c r="N8">
        <v>42.022994800670489</v>
      </c>
      <c r="O8">
        <v>0</v>
      </c>
      <c r="P8">
        <v>2.2582301061763874</v>
      </c>
      <c r="Q8">
        <v>44.281224906846873</v>
      </c>
    </row>
    <row r="9" spans="1:17">
      <c r="A9" t="s">
        <v>14</v>
      </c>
      <c r="B9" t="s">
        <v>60</v>
      </c>
      <c r="C9">
        <v>10.757999999999999</v>
      </c>
      <c r="D9">
        <v>87.356321839080479</v>
      </c>
      <c r="E9">
        <v>1.5400000000000003</v>
      </c>
      <c r="F9">
        <v>25.079892284352436</v>
      </c>
      <c r="G9">
        <v>41.756944332649631</v>
      </c>
      <c r="H9">
        <v>9.5</v>
      </c>
      <c r="I9">
        <v>0.76800000000000013</v>
      </c>
      <c r="J9">
        <v>1.8620600375089977</v>
      </c>
      <c r="K9">
        <v>0.73592733059973003</v>
      </c>
      <c r="L9">
        <v>0.48591016079416882</v>
      </c>
      <c r="M9">
        <v>33.905764842319734</v>
      </c>
      <c r="N9">
        <v>39.845378326105951</v>
      </c>
      <c r="O9">
        <v>0</v>
      </c>
      <c r="P9">
        <v>2.0192591817527066</v>
      </c>
      <c r="Q9">
        <v>41.86463750785866</v>
      </c>
    </row>
    <row r="10" spans="1:17">
      <c r="A10" t="s">
        <v>14</v>
      </c>
      <c r="B10" t="s">
        <v>61</v>
      </c>
      <c r="C10">
        <v>7.55</v>
      </c>
      <c r="D10">
        <v>92.307692307692335</v>
      </c>
      <c r="E10">
        <v>1.52</v>
      </c>
      <c r="F10">
        <v>27.288079169648082</v>
      </c>
      <c r="G10">
        <v>44.300033860032208</v>
      </c>
      <c r="H10">
        <v>9.8000000000000007</v>
      </c>
      <c r="I10">
        <v>0.80640000000000001</v>
      </c>
      <c r="J10">
        <v>3.8639456338023823</v>
      </c>
      <c r="K10">
        <v>0.5405873006182822</v>
      </c>
      <c r="L10">
        <v>0.39719971069937465</v>
      </c>
      <c r="M10">
        <v>26.076102130417652</v>
      </c>
      <c r="N10">
        <v>46.016409535339847</v>
      </c>
      <c r="O10">
        <v>0</v>
      </c>
      <c r="P10">
        <v>2.6543043253127148</v>
      </c>
      <c r="Q10">
        <v>48.670713860652562</v>
      </c>
    </row>
    <row r="11" spans="1:17">
      <c r="A11" t="s">
        <v>14</v>
      </c>
      <c r="B11" t="s">
        <v>59</v>
      </c>
      <c r="C11">
        <v>11.877999999999998</v>
      </c>
      <c r="D11">
        <v>84.955752212389385</v>
      </c>
      <c r="E11">
        <v>1.5399999999999998</v>
      </c>
      <c r="F11">
        <v>26.272265948536045</v>
      </c>
      <c r="G11">
        <v>36.756965326316042</v>
      </c>
      <c r="H11">
        <v>9.6999999999999993</v>
      </c>
      <c r="I11">
        <v>0.83200000000000007</v>
      </c>
      <c r="J11">
        <v>2.4212813810233658</v>
      </c>
      <c r="K11">
        <v>0.63928464230843551</v>
      </c>
      <c r="L11">
        <v>0.49154800423267464</v>
      </c>
      <c r="M11">
        <v>22.964951940854597</v>
      </c>
      <c r="N11">
        <v>35.380375277072467</v>
      </c>
      <c r="O11">
        <v>0</v>
      </c>
      <c r="P11">
        <v>2.0323793541100788</v>
      </c>
      <c r="Q11">
        <v>37.412754631182544</v>
      </c>
    </row>
    <row r="12" spans="1:17">
      <c r="A12" t="s">
        <v>14</v>
      </c>
      <c r="B12" t="s">
        <v>60</v>
      </c>
      <c r="C12">
        <v>11.256</v>
      </c>
      <c r="D12">
        <v>91.089108910891099</v>
      </c>
      <c r="E12">
        <v>1.1000000000000001</v>
      </c>
      <c r="F12">
        <v>31.549007750118481</v>
      </c>
      <c r="G12">
        <v>46.843852318100396</v>
      </c>
      <c r="H12">
        <v>9.5</v>
      </c>
      <c r="I12">
        <v>0.85760000000000003</v>
      </c>
      <c r="J12">
        <v>2.8120062966836392</v>
      </c>
      <c r="K12">
        <v>0.63490167848627532</v>
      </c>
      <c r="L12">
        <v>0.44093078151867537</v>
      </c>
      <c r="M12">
        <v>30.81469579646043</v>
      </c>
      <c r="N12">
        <v>56.152936753107667</v>
      </c>
      <c r="O12">
        <v>0</v>
      </c>
      <c r="P12">
        <v>1.8972384491003373</v>
      </c>
      <c r="Q12">
        <v>58.050175202208003</v>
      </c>
    </row>
    <row r="13" spans="1:17">
      <c r="A13" t="s">
        <v>14</v>
      </c>
      <c r="B13" t="s">
        <v>62</v>
      </c>
      <c r="C13">
        <v>8.3800000000000008</v>
      </c>
      <c r="D13">
        <v>95.652173913043498</v>
      </c>
      <c r="E13">
        <v>1.18</v>
      </c>
      <c r="F13">
        <v>25.586263342801338</v>
      </c>
      <c r="G13">
        <v>45.291457251892439</v>
      </c>
      <c r="H13">
        <v>8.6999999999999993</v>
      </c>
      <c r="I13">
        <v>0.80640000000000001</v>
      </c>
      <c r="J13">
        <v>4.9716151137613736</v>
      </c>
      <c r="K13">
        <v>0.61475513737540166</v>
      </c>
      <c r="L13">
        <v>0.39351498563671533</v>
      </c>
      <c r="M13">
        <v>35.932853311006561</v>
      </c>
      <c r="N13">
        <v>61.124359526273714</v>
      </c>
      <c r="O13">
        <v>0</v>
      </c>
      <c r="P13">
        <v>3.0644984914644549</v>
      </c>
      <c r="Q13">
        <v>64.18885801773817</v>
      </c>
    </row>
    <row r="14" spans="1:17">
      <c r="A14" t="s">
        <v>14</v>
      </c>
      <c r="B14" t="s">
        <v>59</v>
      </c>
      <c r="C14">
        <v>10.206</v>
      </c>
      <c r="D14">
        <v>87.058823529411782</v>
      </c>
      <c r="E14">
        <v>1.2600000000000002</v>
      </c>
      <c r="F14">
        <v>32.614014877073465</v>
      </c>
      <c r="G14">
        <v>44.306171127733435</v>
      </c>
      <c r="H14">
        <v>10.199999999999999</v>
      </c>
      <c r="I14">
        <v>0.84480000000000011</v>
      </c>
      <c r="J14">
        <v>1.5341689692253908</v>
      </c>
      <c r="K14">
        <v>0.52434000115313217</v>
      </c>
      <c r="L14">
        <v>0.36573233248204967</v>
      </c>
      <c r="M14">
        <v>32.658975649479096</v>
      </c>
      <c r="N14">
        <v>66.8987367134538</v>
      </c>
      <c r="O14">
        <v>0</v>
      </c>
      <c r="P14">
        <v>3.1811856624729948</v>
      </c>
      <c r="Q14">
        <v>70.079922375926799</v>
      </c>
    </row>
    <row r="15" spans="1:17">
      <c r="A15" t="s">
        <v>14</v>
      </c>
      <c r="B15" t="s">
        <v>61</v>
      </c>
      <c r="C15">
        <v>11.414000000000001</v>
      </c>
      <c r="D15">
        <v>91.588785046728987</v>
      </c>
      <c r="E15">
        <v>1.2200000000000002</v>
      </c>
      <c r="F15">
        <v>29.017606691130304</v>
      </c>
      <c r="G15">
        <v>42.116906344127415</v>
      </c>
      <c r="H15">
        <v>10.7</v>
      </c>
      <c r="I15">
        <v>0.85760000000000003</v>
      </c>
      <c r="J15">
        <v>3.4981824673674313</v>
      </c>
      <c r="K15">
        <v>0.56984168167434812</v>
      </c>
      <c r="L15">
        <v>0.44830892253322829</v>
      </c>
      <c r="M15">
        <v>21.43071722692147</v>
      </c>
      <c r="N15">
        <v>65.71009052273088</v>
      </c>
      <c r="O15">
        <v>0</v>
      </c>
      <c r="P15">
        <v>3.3374521896766312</v>
      </c>
      <c r="Q15">
        <v>69.047542712407505</v>
      </c>
    </row>
    <row r="16" spans="1:17">
      <c r="A16" t="s">
        <v>14</v>
      </c>
      <c r="B16" t="s">
        <v>62</v>
      </c>
      <c r="C16">
        <v>10.219999999999999</v>
      </c>
      <c r="D16">
        <v>95.555555555555543</v>
      </c>
      <c r="E16">
        <v>1.1000000000000001</v>
      </c>
      <c r="F16">
        <v>26.330461428645211</v>
      </c>
      <c r="G16">
        <v>41.506241699291451</v>
      </c>
      <c r="H16">
        <v>8.9</v>
      </c>
      <c r="I16">
        <v>0.84480000000000011</v>
      </c>
      <c r="J16">
        <v>4.7627919022478391</v>
      </c>
      <c r="K16">
        <v>0.70210556929139978</v>
      </c>
      <c r="L16">
        <v>0.54387203280323115</v>
      </c>
      <c r="M16">
        <v>22.59622819490145</v>
      </c>
      <c r="N16">
        <v>50.105476149599497</v>
      </c>
      <c r="O16">
        <v>0</v>
      </c>
      <c r="P16">
        <v>2.5534157259251771</v>
      </c>
      <c r="Q16">
        <v>52.658891875524674</v>
      </c>
    </row>
    <row r="17" spans="1:17">
      <c r="A17" t="s">
        <v>14</v>
      </c>
      <c r="B17" t="s">
        <v>60</v>
      </c>
      <c r="C17">
        <v>10.012</v>
      </c>
      <c r="D17">
        <v>88.659793814433002</v>
      </c>
      <c r="E17">
        <v>1.2600000000000002</v>
      </c>
      <c r="F17">
        <v>26.360261733190054</v>
      </c>
      <c r="G17">
        <v>33.782730795481882</v>
      </c>
      <c r="H17">
        <v>8.3000000000000007</v>
      </c>
      <c r="I17">
        <v>0.74239999999999995</v>
      </c>
      <c r="J17">
        <v>1.8622218576678096</v>
      </c>
      <c r="K17">
        <v>0.72278607015794494</v>
      </c>
      <c r="L17">
        <v>0.55263223717902998</v>
      </c>
      <c r="M17">
        <v>24.370376896367581</v>
      </c>
      <c r="N17">
        <v>73.42268341635608</v>
      </c>
      <c r="O17">
        <v>0</v>
      </c>
      <c r="P17">
        <v>3.169619082183381</v>
      </c>
      <c r="Q17">
        <v>76.592302498539453</v>
      </c>
    </row>
    <row r="18" spans="1:17">
      <c r="A18" t="s">
        <v>35</v>
      </c>
      <c r="B18" t="s">
        <v>59</v>
      </c>
      <c r="C18">
        <v>9.282</v>
      </c>
      <c r="D18">
        <v>84.848484848484844</v>
      </c>
      <c r="E18">
        <v>1.3800000000000001</v>
      </c>
      <c r="F18">
        <v>34.605505232513373</v>
      </c>
      <c r="G18">
        <v>55.377241715347289</v>
      </c>
      <c r="H18">
        <v>9.8000000000000007</v>
      </c>
      <c r="I18">
        <v>0.89600000000000013</v>
      </c>
      <c r="J18">
        <v>2.07382119973032</v>
      </c>
      <c r="K18">
        <v>0.67819269354822265</v>
      </c>
      <c r="L18">
        <v>0.41611702091579028</v>
      </c>
      <c r="M18">
        <v>38.618739681565785</v>
      </c>
      <c r="N18" t="s">
        <v>36</v>
      </c>
      <c r="O18" t="s">
        <v>36</v>
      </c>
      <c r="P18" t="s">
        <v>36</v>
      </c>
      <c r="Q18" t="s">
        <v>36</v>
      </c>
    </row>
    <row r="19" spans="1:17">
      <c r="A19" t="s">
        <v>35</v>
      </c>
      <c r="B19" t="s">
        <v>61</v>
      </c>
      <c r="C19">
        <v>10.674000000000001</v>
      </c>
      <c r="D19">
        <v>85.925925925925924</v>
      </c>
      <c r="E19">
        <v>1.3399999999999999</v>
      </c>
      <c r="F19">
        <v>34.430008779172908</v>
      </c>
      <c r="G19">
        <v>55.624427188061901</v>
      </c>
      <c r="H19">
        <v>9</v>
      </c>
      <c r="I19">
        <v>0.83200000000000007</v>
      </c>
      <c r="J19">
        <v>2.6328622274410587</v>
      </c>
      <c r="K19">
        <v>0.72939941291983312</v>
      </c>
      <c r="L19">
        <v>0.45622187119508584</v>
      </c>
      <c r="M19">
        <v>37.540582311904586</v>
      </c>
      <c r="N19" t="s">
        <v>36</v>
      </c>
      <c r="O19" t="s">
        <v>36</v>
      </c>
      <c r="P19" t="s">
        <v>36</v>
      </c>
      <c r="Q19" t="s">
        <v>36</v>
      </c>
    </row>
    <row r="20" spans="1:17">
      <c r="A20" t="s">
        <v>35</v>
      </c>
      <c r="B20" t="s">
        <v>60</v>
      </c>
      <c r="C20">
        <v>11.36</v>
      </c>
      <c r="D20">
        <v>90.434782608695656</v>
      </c>
      <c r="E20">
        <v>1.36</v>
      </c>
      <c r="F20">
        <v>26.1036260956839</v>
      </c>
      <c r="G20">
        <v>46.091327817714259</v>
      </c>
      <c r="H20">
        <v>11.3</v>
      </c>
      <c r="I20">
        <v>0.96000000000000008</v>
      </c>
      <c r="J20">
        <v>3.705919411523936</v>
      </c>
      <c r="K20">
        <v>0.65400064948499015</v>
      </c>
      <c r="L20">
        <v>0.41645914518957128</v>
      </c>
      <c r="M20">
        <v>36.227987489905296</v>
      </c>
      <c r="N20" t="s">
        <v>36</v>
      </c>
      <c r="O20" t="s">
        <v>36</v>
      </c>
      <c r="P20" t="s">
        <v>36</v>
      </c>
      <c r="Q20" t="s">
        <v>36</v>
      </c>
    </row>
    <row r="21" spans="1:17">
      <c r="A21" t="s">
        <v>35</v>
      </c>
      <c r="B21" t="s">
        <v>62</v>
      </c>
      <c r="C21">
        <v>9.3740000000000006</v>
      </c>
      <c r="D21">
        <v>87.640449438202268</v>
      </c>
      <c r="E21">
        <v>1.32</v>
      </c>
      <c r="F21">
        <v>26.674328279142447</v>
      </c>
      <c r="G21">
        <v>44.551499413599991</v>
      </c>
      <c r="H21">
        <v>10.3</v>
      </c>
      <c r="I21">
        <v>0.83200000000000007</v>
      </c>
      <c r="J21">
        <v>2.4790026185814362</v>
      </c>
      <c r="K21">
        <v>0.5512177419628348</v>
      </c>
      <c r="L21">
        <v>0.35446660833172183</v>
      </c>
      <c r="M21">
        <v>36.03889511594106</v>
      </c>
      <c r="N21">
        <v>411.12454017011379</v>
      </c>
      <c r="O21">
        <v>33.086387408961869</v>
      </c>
      <c r="P21">
        <v>12.778097696269951</v>
      </c>
      <c r="Q21">
        <v>456.98902527534557</v>
      </c>
    </row>
    <row r="22" spans="1:17">
      <c r="A22" t="s">
        <v>35</v>
      </c>
      <c r="B22" t="s">
        <v>61</v>
      </c>
      <c r="C22">
        <v>12.132000000000001</v>
      </c>
      <c r="D22">
        <v>82.051282051282044</v>
      </c>
      <c r="E22">
        <v>1.5</v>
      </c>
      <c r="F22">
        <v>27.423463103786233</v>
      </c>
      <c r="G22">
        <v>42.6868562909006</v>
      </c>
      <c r="H22">
        <v>11.2</v>
      </c>
      <c r="I22">
        <v>0.81920000000000015</v>
      </c>
      <c r="J22">
        <v>2.0304952613788672</v>
      </c>
      <c r="K22">
        <v>0.67838304521975612</v>
      </c>
      <c r="L22">
        <v>0.43219919348547864</v>
      </c>
      <c r="M22">
        <v>36.143487354776347</v>
      </c>
      <c r="N22">
        <v>351.17618497266699</v>
      </c>
      <c r="O22">
        <v>16.028974151510415</v>
      </c>
      <c r="P22">
        <v>11.898922966909021</v>
      </c>
      <c r="Q22">
        <v>379.10408209108641</v>
      </c>
    </row>
    <row r="23" spans="1:17">
      <c r="A23" t="s">
        <v>35</v>
      </c>
      <c r="B23" t="s">
        <v>59</v>
      </c>
      <c r="C23">
        <v>13.1</v>
      </c>
      <c r="D23">
        <v>87.179487179487197</v>
      </c>
      <c r="E23">
        <v>1.3800000000000001</v>
      </c>
      <c r="F23">
        <v>30.184549162349235</v>
      </c>
      <c r="G23">
        <v>40.732965764844572</v>
      </c>
      <c r="H23">
        <v>10.5</v>
      </c>
      <c r="I23">
        <v>0.97280000000000011</v>
      </c>
      <c r="J23">
        <v>2.6436122613816844</v>
      </c>
      <c r="K23">
        <v>0.65470906294408304</v>
      </c>
      <c r="L23">
        <v>0.3799472357036987</v>
      </c>
      <c r="M23">
        <v>41.63094171589605</v>
      </c>
      <c r="N23">
        <v>347.46471537710426</v>
      </c>
      <c r="O23">
        <v>11.566988465328462</v>
      </c>
      <c r="P23">
        <v>10.449925314595751</v>
      </c>
      <c r="Q23">
        <v>369.48162915702846</v>
      </c>
    </row>
    <row r="24" spans="1:17">
      <c r="A24" t="s">
        <v>35</v>
      </c>
      <c r="B24" t="s">
        <v>62</v>
      </c>
      <c r="C24">
        <v>12.569999999999999</v>
      </c>
      <c r="D24">
        <v>86.021505376344095</v>
      </c>
      <c r="E24">
        <v>2.06</v>
      </c>
      <c r="F24" t="s">
        <v>36</v>
      </c>
      <c r="G24" t="s">
        <v>36</v>
      </c>
      <c r="H24">
        <v>10.1</v>
      </c>
      <c r="I24">
        <v>0.87039999999999995</v>
      </c>
      <c r="J24">
        <v>2.6226960901190166</v>
      </c>
      <c r="K24">
        <v>0.67772105382755199</v>
      </c>
      <c r="L24">
        <v>0.41460077870367484</v>
      </c>
      <c r="M24">
        <v>39.050313582773128</v>
      </c>
      <c r="N24">
        <v>373.3127604610608</v>
      </c>
      <c r="O24">
        <v>14.785736887884063</v>
      </c>
      <c r="P24">
        <v>12.044198677361001</v>
      </c>
      <c r="Q24">
        <v>400.14269602630588</v>
      </c>
    </row>
    <row r="25" spans="1:17">
      <c r="A25" t="s">
        <v>35</v>
      </c>
      <c r="B25" t="s">
        <v>60</v>
      </c>
      <c r="C25">
        <v>9.984</v>
      </c>
      <c r="D25">
        <v>87.074829931972786</v>
      </c>
      <c r="E25">
        <v>1.64</v>
      </c>
      <c r="F25">
        <v>36.272342451979959</v>
      </c>
      <c r="G25">
        <v>41.614263179828136</v>
      </c>
      <c r="H25">
        <v>10</v>
      </c>
      <c r="I25">
        <v>0.80640000000000001</v>
      </c>
      <c r="J25">
        <v>2.689542547073672</v>
      </c>
      <c r="K25">
        <v>0.72321807094478818</v>
      </c>
      <c r="L25">
        <v>0.5682071585794759</v>
      </c>
      <c r="M25">
        <v>21.811322240464968</v>
      </c>
      <c r="N25">
        <v>411.76532684527496</v>
      </c>
      <c r="O25">
        <v>17.233788563474757</v>
      </c>
      <c r="P25">
        <v>14.419518941835753</v>
      </c>
      <c r="Q25">
        <v>443.41863435058548</v>
      </c>
    </row>
    <row r="26" spans="1:17">
      <c r="A26" t="s">
        <v>35</v>
      </c>
      <c r="B26" t="s">
        <v>61</v>
      </c>
      <c r="C26">
        <v>6.7379999999999995</v>
      </c>
      <c r="D26">
        <v>86.956521739130437</v>
      </c>
      <c r="E26">
        <v>1.8199999999999998</v>
      </c>
      <c r="F26">
        <v>34.729646509571531</v>
      </c>
      <c r="G26">
        <v>49.376444788988195</v>
      </c>
      <c r="H26">
        <v>10.8</v>
      </c>
      <c r="I26">
        <v>0.84480000000000011</v>
      </c>
      <c r="J26">
        <v>3.0655554329931629</v>
      </c>
      <c r="K26">
        <v>0.59702869095706568</v>
      </c>
      <c r="L26">
        <v>0.44732006891663134</v>
      </c>
      <c r="M26">
        <v>25.166462659583466</v>
      </c>
      <c r="N26">
        <v>467.86155292088216</v>
      </c>
      <c r="O26">
        <v>19.13054225652122</v>
      </c>
      <c r="P26">
        <v>19.891841575813071</v>
      </c>
      <c r="Q26">
        <v>506.88393675321646</v>
      </c>
    </row>
    <row r="27" spans="1:17">
      <c r="A27" t="s">
        <v>35</v>
      </c>
      <c r="B27" t="s">
        <v>59</v>
      </c>
      <c r="C27">
        <v>11.36</v>
      </c>
      <c r="D27">
        <v>83.185840707964616</v>
      </c>
      <c r="E27">
        <v>1.56</v>
      </c>
      <c r="F27">
        <v>22.279814593367444</v>
      </c>
      <c r="G27">
        <v>39.142227836442828</v>
      </c>
      <c r="H27">
        <v>10.4</v>
      </c>
      <c r="I27">
        <v>0.85760000000000003</v>
      </c>
      <c r="J27">
        <v>2.3538149769902068</v>
      </c>
      <c r="K27">
        <v>0.62714728555972665</v>
      </c>
      <c r="L27">
        <v>0.46446380181041769</v>
      </c>
      <c r="M27">
        <v>26.010104819401697</v>
      </c>
      <c r="N27">
        <v>359.45206783453352</v>
      </c>
      <c r="O27">
        <v>15.119403093740221</v>
      </c>
      <c r="P27">
        <v>14.840195788168607</v>
      </c>
      <c r="Q27">
        <v>389.41166671644237</v>
      </c>
    </row>
    <row r="28" spans="1:17">
      <c r="A28" t="s">
        <v>35</v>
      </c>
      <c r="B28" t="s">
        <v>60</v>
      </c>
      <c r="C28">
        <v>8.8640000000000008</v>
      </c>
      <c r="D28">
        <v>86.4</v>
      </c>
      <c r="E28">
        <v>1.6199999999999999</v>
      </c>
      <c r="F28">
        <v>27.815510817596447</v>
      </c>
      <c r="G28">
        <v>39.346278095901269</v>
      </c>
      <c r="H28">
        <v>10.199999999999999</v>
      </c>
      <c r="I28">
        <v>0.8832000000000001</v>
      </c>
      <c r="J28">
        <v>3.0139290808593264</v>
      </c>
      <c r="K28">
        <v>0.66912088899741873</v>
      </c>
      <c r="L28">
        <v>0.41090715077887269</v>
      </c>
      <c r="M28">
        <v>38.313794156757531</v>
      </c>
      <c r="N28">
        <v>400.9457526157791</v>
      </c>
      <c r="O28">
        <v>14.056052001570583</v>
      </c>
      <c r="P28">
        <v>10.915439527027013</v>
      </c>
      <c r="Q28">
        <v>425.9172441443767</v>
      </c>
    </row>
    <row r="29" spans="1:17">
      <c r="A29" t="s">
        <v>35</v>
      </c>
      <c r="B29" t="s">
        <v>62</v>
      </c>
      <c r="C29">
        <v>11.097999999999999</v>
      </c>
      <c r="D29">
        <v>88.659793814433002</v>
      </c>
      <c r="E29">
        <v>1.8</v>
      </c>
      <c r="F29">
        <v>36.243475900228333</v>
      </c>
      <c r="G29">
        <v>47.562842640027313</v>
      </c>
      <c r="H29">
        <v>11.6</v>
      </c>
      <c r="I29">
        <v>0.94720000000000015</v>
      </c>
      <c r="J29">
        <v>3.4114351979971627</v>
      </c>
      <c r="K29">
        <v>0.50469202032226612</v>
      </c>
      <c r="L29">
        <v>0.38290129015190766</v>
      </c>
      <c r="M29">
        <v>24.462060354651499</v>
      </c>
      <c r="N29">
        <v>469.52348760235992</v>
      </c>
      <c r="O29">
        <v>22.577030047605621</v>
      </c>
      <c r="P29">
        <v>11.630672042769064</v>
      </c>
      <c r="Q29">
        <v>503.73118969273457</v>
      </c>
    </row>
    <row r="30" spans="1:17">
      <c r="A30" t="s">
        <v>35</v>
      </c>
      <c r="B30" t="s">
        <v>59</v>
      </c>
      <c r="C30">
        <v>12.898</v>
      </c>
      <c r="D30">
        <v>86.131386861313871</v>
      </c>
      <c r="E30">
        <v>1.8</v>
      </c>
      <c r="F30">
        <v>29.113435066558257</v>
      </c>
      <c r="G30">
        <v>39.72949785738551</v>
      </c>
      <c r="H30">
        <v>11</v>
      </c>
      <c r="I30">
        <v>0.81920000000000015</v>
      </c>
      <c r="J30">
        <v>2.5446032994040539</v>
      </c>
      <c r="K30">
        <v>0.65874205949485987</v>
      </c>
      <c r="L30">
        <v>0.46518005826711251</v>
      </c>
      <c r="M30">
        <v>29.100488456331455</v>
      </c>
      <c r="N30">
        <v>388.40375518936389</v>
      </c>
      <c r="O30">
        <v>17.287761281266739</v>
      </c>
      <c r="P30">
        <v>15.321394732717961</v>
      </c>
      <c r="Q30">
        <v>421.01291120334861</v>
      </c>
    </row>
    <row r="31" spans="1:17">
      <c r="A31" t="s">
        <v>35</v>
      </c>
      <c r="B31" t="s">
        <v>61</v>
      </c>
      <c r="C31">
        <v>9.3460000000000001</v>
      </c>
      <c r="D31">
        <v>82.352941176470608</v>
      </c>
      <c r="E31">
        <v>1.7400000000000002</v>
      </c>
      <c r="F31">
        <v>26.410097008012205</v>
      </c>
      <c r="G31">
        <v>47.954889218931577</v>
      </c>
      <c r="H31">
        <v>10.5</v>
      </c>
      <c r="I31">
        <v>0.76800000000000013</v>
      </c>
      <c r="J31">
        <v>1.7648129503100285</v>
      </c>
      <c r="K31">
        <v>0.63039534643156281</v>
      </c>
      <c r="L31">
        <v>0.44608681053691857</v>
      </c>
      <c r="M31">
        <v>29.640727277684597</v>
      </c>
      <c r="N31">
        <v>242.12710111953984</v>
      </c>
      <c r="O31">
        <v>12.699466469242159</v>
      </c>
      <c r="P31">
        <v>12.335678741284703</v>
      </c>
      <c r="Q31">
        <v>267.16224633006669</v>
      </c>
    </row>
    <row r="32" spans="1:17">
      <c r="A32" t="s">
        <v>35</v>
      </c>
      <c r="B32" t="s">
        <v>62</v>
      </c>
      <c r="C32">
        <v>8.6180000000000003</v>
      </c>
      <c r="D32">
        <v>81.632653061224516</v>
      </c>
      <c r="E32">
        <v>1.44</v>
      </c>
      <c r="F32">
        <v>28.479107810996485</v>
      </c>
      <c r="G32">
        <v>46.997065865860179</v>
      </c>
      <c r="H32">
        <v>10.4</v>
      </c>
      <c r="I32">
        <v>0.70400000000000007</v>
      </c>
      <c r="J32">
        <v>1.983634797058059</v>
      </c>
      <c r="K32">
        <v>0.64892411030730934</v>
      </c>
      <c r="L32">
        <v>0.34935678940745901</v>
      </c>
      <c r="M32">
        <v>46.734281525080114</v>
      </c>
      <c r="N32">
        <v>195.36952434670687</v>
      </c>
      <c r="O32">
        <v>9.888603299591475</v>
      </c>
      <c r="P32">
        <v>9.8222327299574559</v>
      </c>
      <c r="Q32">
        <v>215.08036037625578</v>
      </c>
    </row>
    <row r="33" spans="1:17">
      <c r="A33" t="s">
        <v>35</v>
      </c>
      <c r="B33" t="s">
        <v>60</v>
      </c>
      <c r="C33">
        <v>9.5739999999999998</v>
      </c>
      <c r="D33">
        <v>87.804878048780495</v>
      </c>
      <c r="E33">
        <v>1.24</v>
      </c>
      <c r="F33">
        <v>29.590611128368952</v>
      </c>
      <c r="G33">
        <v>47.448419362503529</v>
      </c>
      <c r="H33">
        <v>10.7</v>
      </c>
      <c r="I33">
        <v>0.80640000000000001</v>
      </c>
      <c r="J33">
        <v>2.2351001513665931</v>
      </c>
      <c r="K33">
        <v>0.68531434734389429</v>
      </c>
      <c r="L33">
        <v>0.5272529328571568</v>
      </c>
      <c r="M33">
        <v>23.093536439940252</v>
      </c>
      <c r="N33">
        <v>385.34830716019945</v>
      </c>
      <c r="O33">
        <v>14.916113604537893</v>
      </c>
      <c r="P33">
        <v>11.198142952697376</v>
      </c>
      <c r="Q33">
        <v>411.4625637174347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85500F6A16FD64C9D4F4E423018CF93" ma:contentTypeVersion="9" ma:contentTypeDescription="Create a new document." ma:contentTypeScope="" ma:versionID="81152291ca9f03ce1279c2bb790e8f33">
  <xsd:schema xmlns:xsd="http://www.w3.org/2001/XMLSchema" xmlns:xs="http://www.w3.org/2001/XMLSchema" xmlns:p="http://schemas.microsoft.com/office/2006/metadata/properties" xmlns:ns2="95c01ff0-70bc-4f44-a2de-2bde6a9d5bad" xmlns:ns3="ff137078-e90e-47d0-980e-c7e2ec898b8b" targetNamespace="http://schemas.microsoft.com/office/2006/metadata/properties" ma:root="true" ma:fieldsID="071fb82854a3a544faf26e4ee5a8df5a" ns2:_="" ns3:_="">
    <xsd:import namespace="95c01ff0-70bc-4f44-a2de-2bde6a9d5bad"/>
    <xsd:import namespace="ff137078-e90e-47d0-980e-c7e2ec898b8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c01ff0-70bc-4f44-a2de-2bde6a9d5ba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13b0b881-3bf5-4493-8d21-dd6cf614d6f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f137078-e90e-47d0-980e-c7e2ec898b8b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c70cbdc3-3477-4dbb-a727-ed67127719a9}" ma:internalName="TaxCatchAll" ma:showField="CatchAllData" ma:web="ff137078-e90e-47d0-980e-c7e2ec898b8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95c01ff0-70bc-4f44-a2de-2bde6a9d5bad">
      <Terms xmlns="http://schemas.microsoft.com/office/infopath/2007/PartnerControls"/>
    </lcf76f155ced4ddcb4097134ff3c332f>
    <TaxCatchAll xmlns="ff137078-e90e-47d0-980e-c7e2ec898b8b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E8F4407-396C-4F44-A1C4-5AC74D74073F}"/>
</file>

<file path=customXml/itemProps2.xml><?xml version="1.0" encoding="utf-8"?>
<ds:datastoreItem xmlns:ds="http://schemas.openxmlformats.org/officeDocument/2006/customXml" ds:itemID="{E7C9D93E-D693-4E36-A8D6-30CABA6A8328}"/>
</file>

<file path=customXml/itemProps3.xml><?xml version="1.0" encoding="utf-8"?>
<ds:datastoreItem xmlns:ds="http://schemas.openxmlformats.org/officeDocument/2006/customXml" ds:itemID="{4CFD54A5-A333-417B-AEEC-A4DC6D44890A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marina</dc:creator>
  <cp:keywords/>
  <dc:description/>
  <cp:lastModifiedBy>NANCY DONAJI SANCHEZ GARCIA</cp:lastModifiedBy>
  <cp:revision/>
  <dcterms:created xsi:type="dcterms:W3CDTF">2023-05-04T13:26:40Z</dcterms:created>
  <dcterms:modified xsi:type="dcterms:W3CDTF">2026-05-29T08:57:43Z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0x010100585500F6A16FD64C9D4F4E423018CF93</vt:lpwstr>
  </property>
</Properties>
</file>